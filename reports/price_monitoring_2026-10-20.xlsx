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лерты" sheetId="1" state="visible" r:id="rId1"/>
    <sheet xmlns:r="http://schemas.openxmlformats.org/officeDocument/2006/relationships" name="Индекс по SKU" sheetId="2" state="visible" r:id="rId2"/>
    <sheet xmlns:r="http://schemas.openxmlformats.org/officeDocument/2006/relationships" name="Категории" sheetId="3" state="visible" r:id="rId3"/>
    <sheet xmlns:r="http://schemas.openxmlformats.org/officeDocument/2006/relationships" name="Загрузка" sheetId="4" state="visible" r:id="rId4"/>
  </sheets>
  <definedNames>
    <definedName name="_xlnm._FilterDatabase" localSheetId="0" hidden="1">'Алерты'!$A$2:$O$23</definedName>
    <definedName name="_xlnm._FilterDatabase" localSheetId="1" hidden="1">'Индекс по SKU'!$A$2:$K$78</definedName>
    <definedName name="_xlnm._FilterDatabase" localSheetId="2" hidden="1">'Категории'!$A$2:$F$8</definedName>
    <definedName name="_xlnm._FilterDatabase" localSheetId="3" hidden="1">'Загрузка'!$A$2:$I$5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49" fontId="2" fillId="0" borderId="0" pivotButton="0" quotePrefix="0" xfId="0"/>
    <xf numFmtId="1" fontId="2" fillId="0" borderId="0" pivotButton="0" quotePrefix="0" xfId="0"/>
    <xf numFmtId="4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3" fontId="2" fillId="0" borderId="0" pivotButton="0" quotePrefix="0" xfId="0"/>
    <xf numFmtId="1" fontId="1" fillId="0" borderId="0" pivotButton="0" quotePrefix="0" xfId="0"/>
    <xf numFmtId="2" fontId="1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22" customWidth="1" min="3" max="3"/>
    <col width="10" customWidth="1" min="4" max="4"/>
    <col width="14" customWidth="1" min="5" max="5"/>
    <col width="16" customWidth="1" min="6" max="6"/>
    <col width="20" customWidth="1" min="7" max="7"/>
    <col width="20" customWidth="1" min="8" max="8"/>
    <col width="8" customWidth="1" min="9" max="9"/>
    <col width="12" customWidth="1" min="10" max="10"/>
    <col width="15" customWidth="1" min="11" max="11"/>
    <col width="27" customWidth="1" min="12" max="12"/>
    <col width="14" customWidth="1" min="13" max="13"/>
    <col width="27" customWidth="1" min="14" max="14"/>
    <col width="31" customWidth="1" min="15" max="15"/>
  </cols>
  <sheetData>
    <row r="1">
      <c r="A1" s="1" t="inlineStr">
        <is>
          <t>Итого</t>
        </is>
      </c>
      <c r="B1" s="1" t="n"/>
      <c r="C1" s="1" t="n"/>
      <c r="D1" s="1" t="n"/>
      <c r="E1" s="1" t="n"/>
      <c r="F1" s="1" t="n"/>
      <c r="G1" s="1" t="n"/>
      <c r="H1" s="1" t="n"/>
      <c r="I1" s="2">
        <f>SUBTOTAL(101,I3:I23)</f>
        <v/>
      </c>
      <c r="J1" s="3">
        <f>SUBTOTAL(101,J3:J23)</f>
        <v/>
      </c>
      <c r="K1" s="1" t="n"/>
      <c r="L1" s="1" t="n"/>
      <c r="M1" s="3">
        <f>SUBTOTAL(101,M3:M23)</f>
        <v/>
      </c>
      <c r="N1" s="3">
        <f>SUBTOTAL(101,N3:N23)</f>
        <v/>
      </c>
      <c r="O1" s="1" t="n"/>
    </row>
    <row r="2">
      <c r="A2" s="1" t="inlineStr">
        <is>
          <t>SKU</t>
        </is>
      </c>
      <c r="B2" s="1" t="inlineStr">
        <is>
          <t>Наименование</t>
        </is>
      </c>
      <c r="C2" s="1" t="inlineStr">
        <is>
          <t>Категория</t>
        </is>
      </c>
      <c r="D2" s="1" t="inlineStr">
        <is>
          <t>Площадок</t>
        </is>
      </c>
      <c r="E2" s="1" t="inlineStr">
        <is>
          <t>Закупка, руб</t>
        </is>
      </c>
      <c r="F2" s="1" t="inlineStr">
        <is>
          <t>Наша цена, руб</t>
        </is>
      </c>
      <c r="G2" s="1" t="inlineStr">
        <is>
          <t>Медиана рынка, руб</t>
        </is>
      </c>
      <c r="H2" s="1" t="inlineStr">
        <is>
          <t>Минимум рынка, руб</t>
        </is>
      </c>
      <c r="I2" s="1" t="inlineStr">
        <is>
          <t>Индекс</t>
        </is>
      </c>
      <c r="J2" s="1" t="inlineStr">
        <is>
          <t>Отклонение</t>
        </is>
      </c>
      <c r="K2" s="1" t="inlineStr">
        <is>
          <t>Тип</t>
        </is>
      </c>
      <c r="L2" s="1" t="inlineStr">
        <is>
          <t>Рекомендованная цена, руб</t>
        </is>
      </c>
      <c r="M2" s="1" t="inlineStr">
        <is>
          <t>Маржа сейчас</t>
        </is>
      </c>
      <c r="N2" s="1" t="inlineStr">
        <is>
          <t>Маржа при рекомендованной</t>
        </is>
      </c>
      <c r="O2" s="1" t="inlineStr">
        <is>
          <t>Примечание</t>
        </is>
      </c>
    </row>
    <row r="3">
      <c r="A3" s="4" t="inlineStr">
        <is>
          <t>SKU-0020</t>
        </is>
      </c>
      <c r="B3" s="4" t="inlineStr">
        <is>
          <t>Лимонад Крем-сода Лимонадная артель 1 л</t>
        </is>
      </c>
      <c r="C3" s="4" t="inlineStr">
        <is>
          <t>Газированные напитки</t>
        </is>
      </c>
      <c r="D3" s="5" t="n">
        <v>2</v>
      </c>
      <c r="E3" s="6" t="n">
        <v>66.97</v>
      </c>
      <c r="F3" s="6" t="n">
        <v>109</v>
      </c>
      <c r="G3" s="6" t="n">
        <v>78.995</v>
      </c>
      <c r="H3" s="6" t="n">
        <v>69</v>
      </c>
      <c r="I3" s="7" t="n">
        <v>138</v>
      </c>
      <c r="J3" s="8" t="n">
        <v>0.38</v>
      </c>
      <c r="K3" s="4" t="inlineStr">
        <is>
          <t>дороже рынка</t>
        </is>
      </c>
      <c r="L3" s="9" t="n">
        <v>90</v>
      </c>
      <c r="M3" s="8" t="n">
        <v>0.386</v>
      </c>
      <c r="N3" s="8" t="n">
        <v>0.2558888888888889</v>
      </c>
      <c r="O3" s="4" t="inlineStr">
        <is>
          <t>ограничено минимальной маржой</t>
        </is>
      </c>
    </row>
    <row r="4">
      <c r="A4" s="4" t="inlineStr">
        <is>
          <t>SKU-0049</t>
        </is>
      </c>
      <c r="B4" s="4" t="inlineStr">
        <is>
          <t>Сок мультифрукт Фруктовый край 1 л</t>
        </is>
      </c>
      <c r="C4" s="4" t="inlineStr">
        <is>
          <t>Соки и нектары</t>
        </is>
      </c>
      <c r="D4" s="5" t="n">
        <v>3</v>
      </c>
      <c r="E4" s="6" t="n">
        <v>84.19</v>
      </c>
      <c r="F4" s="6" t="n">
        <v>119</v>
      </c>
      <c r="G4" s="6" t="n">
        <v>88.98999999999999</v>
      </c>
      <c r="H4" s="6" t="n">
        <v>79</v>
      </c>
      <c r="I4" s="7" t="n">
        <v>133.7</v>
      </c>
      <c r="J4" s="8" t="n">
        <v>0.337</v>
      </c>
      <c r="K4" s="4" t="inlineStr">
        <is>
          <t>дороже рынка</t>
        </is>
      </c>
      <c r="L4" s="9" t="n">
        <v>119</v>
      </c>
      <c r="M4" s="8" t="n">
        <v>0.293</v>
      </c>
      <c r="N4" s="8" t="n">
        <v>0.2925210084033614</v>
      </c>
      <c r="O4" s="4" t="inlineStr">
        <is>
          <t>ограничено минимальной маржой</t>
        </is>
      </c>
    </row>
    <row r="5">
      <c r="A5" s="4" t="inlineStr">
        <is>
          <t>SKU-0062</t>
        </is>
      </c>
      <c r="B5" s="4" t="inlineStr">
        <is>
          <t>Чай малина Чайная долина 1 л</t>
        </is>
      </c>
      <c r="C5" s="4" t="inlineStr">
        <is>
          <t>Холодный чай</t>
        </is>
      </c>
      <c r="D5" s="5" t="n">
        <v>3</v>
      </c>
      <c r="E5" s="6" t="n">
        <v>55.27</v>
      </c>
      <c r="F5" s="6" t="n">
        <v>89</v>
      </c>
      <c r="G5" s="6" t="n">
        <v>69</v>
      </c>
      <c r="H5" s="6" t="n">
        <v>69</v>
      </c>
      <c r="I5" s="7" t="n">
        <v>129</v>
      </c>
      <c r="J5" s="8" t="n">
        <v>0.29</v>
      </c>
      <c r="K5" s="4" t="inlineStr">
        <is>
          <t>дороже рынка</t>
        </is>
      </c>
      <c r="L5" s="9" t="n">
        <v>80</v>
      </c>
      <c r="M5" s="8" t="n">
        <v>0.379</v>
      </c>
      <c r="N5" s="8" t="n">
        <v>0.309125</v>
      </c>
      <c r="O5" s="4" t="inlineStr">
        <is>
          <t>ограничено минимальной маржой</t>
        </is>
      </c>
    </row>
    <row r="6">
      <c r="A6" s="4" t="inlineStr">
        <is>
          <t>SKU-0055</t>
        </is>
      </c>
      <c r="B6" s="4" t="inlineStr">
        <is>
          <t>Чай черный лимон Чайная долина 0,5 л</t>
        </is>
      </c>
      <c r="C6" s="4" t="inlineStr">
        <is>
          <t>Холодный чай</t>
        </is>
      </c>
      <c r="D6" s="5" t="n">
        <v>3</v>
      </c>
      <c r="E6" s="6" t="n">
        <v>30.76</v>
      </c>
      <c r="F6" s="6" t="n">
        <v>49</v>
      </c>
      <c r="G6" s="6" t="n">
        <v>39</v>
      </c>
      <c r="H6" s="6" t="n">
        <v>39</v>
      </c>
      <c r="I6" s="7" t="n">
        <v>125.6</v>
      </c>
      <c r="J6" s="8" t="n">
        <v>0.256</v>
      </c>
      <c r="K6" s="4" t="inlineStr">
        <is>
          <t>дороже рынка</t>
        </is>
      </c>
      <c r="L6" s="9" t="n">
        <v>49</v>
      </c>
      <c r="M6" s="8" t="n">
        <v>0.372</v>
      </c>
      <c r="N6" s="8" t="n">
        <v>0.3722448979591837</v>
      </c>
      <c r="O6" s="4" t="inlineStr">
        <is>
          <t>ограничено минимальной маржой</t>
        </is>
      </c>
    </row>
    <row r="7">
      <c r="A7" s="4" t="inlineStr">
        <is>
          <t>SKU-0029</t>
        </is>
      </c>
      <c r="B7" s="4" t="inlineStr">
        <is>
          <t>Вода негазированная Горная вершина 0,5 л</t>
        </is>
      </c>
      <c r="C7" s="4" t="inlineStr">
        <is>
          <t>Вода</t>
        </is>
      </c>
      <c r="D7" s="5" t="n">
        <v>2</v>
      </c>
      <c r="E7" s="6" t="n">
        <v>12.39</v>
      </c>
      <c r="F7" s="6" t="n">
        <v>19</v>
      </c>
      <c r="G7" s="6" t="n">
        <v>23.945</v>
      </c>
      <c r="H7" s="6" t="n">
        <v>18.9</v>
      </c>
      <c r="I7" s="7" t="n">
        <v>79.3</v>
      </c>
      <c r="J7" s="8" t="n">
        <v>-0.207</v>
      </c>
      <c r="K7" s="4" t="inlineStr">
        <is>
          <t>дешевле рынка</t>
        </is>
      </c>
      <c r="L7" s="9" t="n">
        <v>20</v>
      </c>
      <c r="M7" s="8" t="n">
        <v>0.348</v>
      </c>
      <c r="N7" s="8" t="n">
        <v>0.3804999999999999</v>
      </c>
      <c r="O7" s="4" t="inlineStr"/>
    </row>
    <row r="8">
      <c r="A8" s="4" t="inlineStr">
        <is>
          <t>SKU-0032</t>
        </is>
      </c>
      <c r="B8" s="4" t="inlineStr">
        <is>
          <t>Вода газированная Горная вершина 0,5 л</t>
        </is>
      </c>
      <c r="C8" s="4" t="inlineStr">
        <is>
          <t>Вода</t>
        </is>
      </c>
      <c r="D8" s="5" t="n">
        <v>2</v>
      </c>
      <c r="E8" s="6" t="n">
        <v>12.71</v>
      </c>
      <c r="F8" s="6" t="n">
        <v>19</v>
      </c>
      <c r="G8" s="6" t="n">
        <v>23.95</v>
      </c>
      <c r="H8" s="6" t="n">
        <v>19</v>
      </c>
      <c r="I8" s="7" t="n">
        <v>79.3</v>
      </c>
      <c r="J8" s="8" t="n">
        <v>-0.207</v>
      </c>
      <c r="K8" s="4" t="inlineStr">
        <is>
          <t>дешевле рынка</t>
        </is>
      </c>
      <c r="L8" s="9" t="n">
        <v>20</v>
      </c>
      <c r="M8" s="8" t="n">
        <v>0.331</v>
      </c>
      <c r="N8" s="8" t="n">
        <v>0.3644999999999999</v>
      </c>
      <c r="O8" s="4" t="inlineStr"/>
    </row>
    <row r="9">
      <c r="A9" s="4" t="inlineStr">
        <is>
          <t>SKU-0002</t>
        </is>
      </c>
      <c r="B9" s="4" t="inlineStr">
        <is>
          <t>Кола классическая Гранд 0,5 л</t>
        </is>
      </c>
      <c r="C9" s="4" t="inlineStr">
        <is>
          <t>Газированные напитки</t>
        </is>
      </c>
      <c r="D9" s="5" t="n">
        <v>1</v>
      </c>
      <c r="E9" s="6" t="n">
        <v>38.34</v>
      </c>
      <c r="F9" s="6" t="n">
        <v>59</v>
      </c>
      <c r="G9" s="6" t="n">
        <v>49</v>
      </c>
      <c r="H9" s="6" t="n">
        <v>49</v>
      </c>
      <c r="I9" s="7" t="n">
        <v>120.4</v>
      </c>
      <c r="J9" s="8" t="n">
        <v>0.204</v>
      </c>
      <c r="K9" s="4" t="inlineStr">
        <is>
          <t>дороже рынка</t>
        </is>
      </c>
      <c r="L9" s="9" t="n">
        <v>59</v>
      </c>
      <c r="M9" s="8" t="n">
        <v>0.35</v>
      </c>
      <c r="N9" s="8" t="n">
        <v>0.3501694915254236</v>
      </c>
      <c r="O9" s="4" t="inlineStr">
        <is>
          <t>ограничено минимальной маржой</t>
        </is>
      </c>
    </row>
    <row r="10">
      <c r="A10" s="4" t="inlineStr">
        <is>
          <t>SKU-0045</t>
        </is>
      </c>
      <c r="B10" s="4" t="inlineStr">
        <is>
          <t>Нектар персиковый Солнечный сад 0,2 л</t>
        </is>
      </c>
      <c r="C10" s="4" t="inlineStr">
        <is>
          <t>Соки и нектары</t>
        </is>
      </c>
      <c r="D10" s="5" t="n">
        <v>2</v>
      </c>
      <c r="E10" s="6" t="n">
        <v>22.74</v>
      </c>
      <c r="F10" s="6" t="n">
        <v>39</v>
      </c>
      <c r="G10" s="6" t="n">
        <v>49</v>
      </c>
      <c r="H10" s="6" t="n">
        <v>49</v>
      </c>
      <c r="I10" s="7" t="n">
        <v>79.59999999999999</v>
      </c>
      <c r="J10" s="8" t="n">
        <v>-0.204</v>
      </c>
      <c r="K10" s="4" t="inlineStr">
        <is>
          <t>дешевле рынка</t>
        </is>
      </c>
      <c r="L10" s="9" t="n">
        <v>50</v>
      </c>
      <c r="M10" s="8" t="n">
        <v>0.417</v>
      </c>
      <c r="N10" s="8" t="n">
        <v>0.5452</v>
      </c>
      <c r="O10" s="4" t="inlineStr"/>
    </row>
    <row r="11">
      <c r="A11" s="4" t="inlineStr">
        <is>
          <t>SKU-0056</t>
        </is>
      </c>
      <c r="B11" s="4" t="inlineStr">
        <is>
          <t>Чай черный лимон Чайная долина 1 л</t>
        </is>
      </c>
      <c r="C11" s="4" t="inlineStr">
        <is>
          <t>Холодный чай</t>
        </is>
      </c>
      <c r="D11" s="5" t="n">
        <v>1</v>
      </c>
      <c r="E11" s="6" t="n">
        <v>60.84</v>
      </c>
      <c r="F11" s="6" t="n">
        <v>89</v>
      </c>
      <c r="G11" s="6" t="n">
        <v>109</v>
      </c>
      <c r="H11" s="6" t="n">
        <v>109</v>
      </c>
      <c r="I11" s="7" t="n">
        <v>81.7</v>
      </c>
      <c r="J11" s="8" t="n">
        <v>-0.183</v>
      </c>
      <c r="K11" s="4" t="inlineStr">
        <is>
          <t>дешевле рынка</t>
        </is>
      </c>
      <c r="L11" s="9" t="n">
        <v>110</v>
      </c>
      <c r="M11" s="8" t="n">
        <v>0.316</v>
      </c>
      <c r="N11" s="8" t="n">
        <v>0.4469090909090909</v>
      </c>
      <c r="O11" s="4" t="inlineStr"/>
    </row>
    <row r="12">
      <c r="A12" s="4" t="inlineStr">
        <is>
          <t>SKU-0058</t>
        </is>
      </c>
      <c r="B12" s="4" t="inlineStr">
        <is>
          <t>Чай зеленый Чайная долина 1 л</t>
        </is>
      </c>
      <c r="C12" s="4" t="inlineStr">
        <is>
          <t>Холодный чай</t>
        </is>
      </c>
      <c r="D12" s="5" t="n">
        <v>3</v>
      </c>
      <c r="E12" s="6" t="n">
        <v>56.65</v>
      </c>
      <c r="F12" s="6" t="n">
        <v>89</v>
      </c>
      <c r="G12" s="6" t="n">
        <v>109</v>
      </c>
      <c r="H12" s="6" t="n">
        <v>109</v>
      </c>
      <c r="I12" s="7" t="n">
        <v>81.7</v>
      </c>
      <c r="J12" s="8" t="n">
        <v>-0.183</v>
      </c>
      <c r="K12" s="4" t="inlineStr">
        <is>
          <t>дешевле рынка</t>
        </is>
      </c>
      <c r="L12" s="9" t="n">
        <v>110</v>
      </c>
      <c r="M12" s="8" t="n">
        <v>0.363</v>
      </c>
      <c r="N12" s="8" t="n">
        <v>0.485</v>
      </c>
      <c r="O12" s="4" t="inlineStr"/>
    </row>
    <row r="13">
      <c r="A13" s="4" t="inlineStr">
        <is>
          <t>SKU-0018</t>
        </is>
      </c>
      <c r="B13" s="4" t="inlineStr">
        <is>
          <t>Лимонад Груша Цитрус Лайн 1,5 л</t>
        </is>
      </c>
      <c r="C13" s="4" t="inlineStr">
        <is>
          <t>Газированные напитки</t>
        </is>
      </c>
      <c r="D13" s="5" t="n">
        <v>2</v>
      </c>
      <c r="E13" s="6" t="n">
        <v>78.98</v>
      </c>
      <c r="F13" s="6" t="n">
        <v>119</v>
      </c>
      <c r="G13" s="6" t="n">
        <v>143.95</v>
      </c>
      <c r="H13" s="6" t="n">
        <v>138.9</v>
      </c>
      <c r="I13" s="7" t="n">
        <v>82.7</v>
      </c>
      <c r="J13" s="8" t="n">
        <v>-0.173</v>
      </c>
      <c r="K13" s="4" t="inlineStr">
        <is>
          <t>дешевле рынка</t>
        </is>
      </c>
      <c r="L13" s="9" t="n">
        <v>140</v>
      </c>
      <c r="M13" s="8" t="n">
        <v>0.336</v>
      </c>
      <c r="N13" s="8" t="n">
        <v>0.4358571428571428</v>
      </c>
      <c r="O13" s="4" t="inlineStr"/>
    </row>
    <row r="14">
      <c r="A14" s="4" t="inlineStr">
        <is>
          <t>SKU-0030</t>
        </is>
      </c>
      <c r="B14" s="4" t="inlineStr">
        <is>
          <t>Вода негазированная Горная вершина 1,5 л</t>
        </is>
      </c>
      <c r="C14" s="4" t="inlineStr">
        <is>
          <t>Вода</t>
        </is>
      </c>
      <c r="D14" s="5" t="n">
        <v>2</v>
      </c>
      <c r="E14" s="6" t="n">
        <v>29.03</v>
      </c>
      <c r="F14" s="6" t="n">
        <v>49</v>
      </c>
      <c r="G14" s="6" t="n">
        <v>58.95</v>
      </c>
      <c r="H14" s="6" t="n">
        <v>58.9</v>
      </c>
      <c r="I14" s="7" t="n">
        <v>83.09999999999999</v>
      </c>
      <c r="J14" s="8" t="n">
        <v>-0.169</v>
      </c>
      <c r="K14" s="4" t="inlineStr">
        <is>
          <t>дешевле рынка</t>
        </is>
      </c>
      <c r="L14" s="9" t="n">
        <v>60</v>
      </c>
      <c r="M14" s="8" t="n">
        <v>0.408</v>
      </c>
      <c r="N14" s="8" t="n">
        <v>0.5161666666666667</v>
      </c>
      <c r="O14" s="4" t="inlineStr"/>
    </row>
    <row r="15">
      <c r="A15" s="4" t="inlineStr">
        <is>
          <t>SKU-0033</t>
        </is>
      </c>
      <c r="B15" s="4" t="inlineStr">
        <is>
          <t>Вода газированная Горная вершина 1,5 л</t>
        </is>
      </c>
      <c r="C15" s="4" t="inlineStr">
        <is>
          <t>Вода</t>
        </is>
      </c>
      <c r="D15" s="5" t="n">
        <v>3</v>
      </c>
      <c r="E15" s="6" t="n">
        <v>32.87</v>
      </c>
      <c r="F15" s="6" t="n">
        <v>49</v>
      </c>
      <c r="G15" s="6" t="n">
        <v>58.9</v>
      </c>
      <c r="H15" s="6" t="n">
        <v>48.99</v>
      </c>
      <c r="I15" s="7" t="n">
        <v>83.2</v>
      </c>
      <c r="J15" s="8" t="n">
        <v>-0.168</v>
      </c>
      <c r="K15" s="4" t="inlineStr">
        <is>
          <t>дешевле рынка</t>
        </is>
      </c>
      <c r="L15" s="9" t="n">
        <v>60</v>
      </c>
      <c r="M15" s="8" t="n">
        <v>0.329</v>
      </c>
      <c r="N15" s="8" t="n">
        <v>0.4521666666666667</v>
      </c>
      <c r="O15" s="4" t="inlineStr"/>
    </row>
    <row r="16">
      <c r="A16" s="4" t="inlineStr">
        <is>
          <t>SKU-0076</t>
        </is>
      </c>
      <c r="B16" s="4" t="inlineStr">
        <is>
          <t>Энергетик ягодный Бодрость 0,45 л</t>
        </is>
      </c>
      <c r="C16" s="4" t="inlineStr">
        <is>
          <t>Энергетики</t>
        </is>
      </c>
      <c r="D16" s="5" t="n">
        <v>2</v>
      </c>
      <c r="E16" s="6" t="n">
        <v>112.26</v>
      </c>
      <c r="F16" s="6" t="n">
        <v>179</v>
      </c>
      <c r="G16" s="6" t="n">
        <v>214</v>
      </c>
      <c r="H16" s="6" t="n">
        <v>209</v>
      </c>
      <c r="I16" s="7" t="n">
        <v>83.59999999999999</v>
      </c>
      <c r="J16" s="8" t="n">
        <v>-0.164</v>
      </c>
      <c r="K16" s="4" t="inlineStr">
        <is>
          <t>дешевле рынка</t>
        </is>
      </c>
      <c r="L16" s="9" t="n">
        <v>210</v>
      </c>
      <c r="M16" s="8" t="n">
        <v>0.373</v>
      </c>
      <c r="N16" s="8" t="n">
        <v>0.4654285714285714</v>
      </c>
      <c r="O16" s="4" t="inlineStr"/>
    </row>
    <row r="17">
      <c r="A17" s="4" t="inlineStr">
        <is>
          <t>SKU-0054</t>
        </is>
      </c>
      <c r="B17" s="4" t="inlineStr">
        <is>
          <t>Морс брусничный Морс Север 1 л</t>
        </is>
      </c>
      <c r="C17" s="4" t="inlineStr">
        <is>
          <t>Соки и нектары</t>
        </is>
      </c>
      <c r="D17" s="5" t="n">
        <v>3</v>
      </c>
      <c r="E17" s="6" t="n">
        <v>111.36</v>
      </c>
      <c r="F17" s="6" t="n">
        <v>169</v>
      </c>
      <c r="G17" s="6" t="n">
        <v>199</v>
      </c>
      <c r="H17" s="6" t="n">
        <v>198.9</v>
      </c>
      <c r="I17" s="7" t="n">
        <v>84.90000000000001</v>
      </c>
      <c r="J17" s="8" t="n">
        <v>-0.151</v>
      </c>
      <c r="K17" s="4" t="inlineStr">
        <is>
          <t>дешевле рынка</t>
        </is>
      </c>
      <c r="L17" s="9" t="n">
        <v>200</v>
      </c>
      <c r="M17" s="8" t="n">
        <v>0.341</v>
      </c>
      <c r="N17" s="8" t="n">
        <v>0.4432</v>
      </c>
      <c r="O17" s="4" t="inlineStr"/>
    </row>
    <row r="18">
      <c r="A18" s="4" t="inlineStr">
        <is>
          <t>SKU-0010</t>
        </is>
      </c>
      <c r="B18" s="4" t="inlineStr">
        <is>
          <t>Кола ваниль Гранд 0,5 л</t>
        </is>
      </c>
      <c r="C18" s="4" t="inlineStr">
        <is>
          <t>Газированные напитки</t>
        </is>
      </c>
      <c r="D18" s="5" t="n">
        <v>3</v>
      </c>
      <c r="E18" s="6" t="n">
        <v>38.07</v>
      </c>
      <c r="F18" s="6" t="n">
        <v>59</v>
      </c>
      <c r="G18" s="6" t="n">
        <v>69</v>
      </c>
      <c r="H18" s="6" t="n">
        <v>69</v>
      </c>
      <c r="I18" s="7" t="n">
        <v>85.5</v>
      </c>
      <c r="J18" s="8" t="n">
        <v>-0.145</v>
      </c>
      <c r="K18" s="4" t="inlineStr">
        <is>
          <t>дешевле рынка</t>
        </is>
      </c>
      <c r="L18" s="9" t="n">
        <v>70</v>
      </c>
      <c r="M18" s="8" t="n">
        <v>0.355</v>
      </c>
      <c r="N18" s="8" t="n">
        <v>0.4561428571428572</v>
      </c>
      <c r="O18" s="4" t="inlineStr"/>
    </row>
    <row r="19">
      <c r="A19" s="4" t="inlineStr">
        <is>
          <t>SKU-0060</t>
        </is>
      </c>
      <c r="B19" s="4" t="inlineStr">
        <is>
          <t>Чай персик Чайная долина 1 л</t>
        </is>
      </c>
      <c r="C19" s="4" t="inlineStr">
        <is>
          <t>Холодный чай</t>
        </is>
      </c>
      <c r="D19" s="5" t="n">
        <v>2</v>
      </c>
      <c r="E19" s="6" t="n">
        <v>60.48</v>
      </c>
      <c r="F19" s="6" t="n">
        <v>99</v>
      </c>
      <c r="G19" s="6" t="n">
        <v>113.995</v>
      </c>
      <c r="H19" s="6" t="n">
        <v>108.99</v>
      </c>
      <c r="I19" s="7" t="n">
        <v>86.8</v>
      </c>
      <c r="J19" s="8" t="n">
        <v>-0.132</v>
      </c>
      <c r="K19" s="4" t="inlineStr">
        <is>
          <t>дешевле рынка</t>
        </is>
      </c>
      <c r="L19" s="9" t="n">
        <v>110</v>
      </c>
      <c r="M19" s="8" t="n">
        <v>0.389</v>
      </c>
      <c r="N19" s="8" t="n">
        <v>0.4501818181818182</v>
      </c>
      <c r="O19" s="4" t="inlineStr"/>
    </row>
    <row r="20">
      <c r="A20" s="4" t="inlineStr">
        <is>
          <t>SKU-0064</t>
        </is>
      </c>
      <c r="B20" s="4" t="inlineStr">
        <is>
          <t>Квас хлебный Хлебный двор 1,5 л</t>
        </is>
      </c>
      <c r="C20" s="4" t="inlineStr">
        <is>
          <t>Квас</t>
        </is>
      </c>
      <c r="D20" s="5" t="n">
        <v>2</v>
      </c>
      <c r="E20" s="6" t="n">
        <v>62.4</v>
      </c>
      <c r="F20" s="6" t="n">
        <v>89</v>
      </c>
      <c r="G20" s="6" t="n">
        <v>78.995</v>
      </c>
      <c r="H20" s="6" t="n">
        <v>78.98999999999999</v>
      </c>
      <c r="I20" s="7" t="n">
        <v>112.7</v>
      </c>
      <c r="J20" s="8" t="n">
        <v>0.127</v>
      </c>
      <c r="K20" s="4" t="inlineStr">
        <is>
          <t>дороже рынка</t>
        </is>
      </c>
      <c r="L20" s="9" t="n">
        <v>89</v>
      </c>
      <c r="M20" s="8" t="n">
        <v>0.299</v>
      </c>
      <c r="N20" s="8" t="n">
        <v>0.298876404494382</v>
      </c>
      <c r="O20" s="4" t="inlineStr">
        <is>
          <t>ограничено минимальной маржой</t>
        </is>
      </c>
    </row>
    <row r="21">
      <c r="A21" s="4" t="inlineStr">
        <is>
          <t>SKU-0023</t>
        </is>
      </c>
      <c r="B21" s="4" t="inlineStr">
        <is>
          <t>Лимонад Колокольчик Лимонадная артель 0,5 л</t>
        </is>
      </c>
      <c r="C21" s="4" t="inlineStr">
        <is>
          <t>Газированные напитки</t>
        </is>
      </c>
      <c r="D21" s="5" t="n">
        <v>3</v>
      </c>
      <c r="E21" s="6" t="n">
        <v>43.03</v>
      </c>
      <c r="F21" s="6" t="n">
        <v>69</v>
      </c>
      <c r="G21" s="6" t="n">
        <v>78.90000000000001</v>
      </c>
      <c r="H21" s="6" t="n">
        <v>68.90000000000001</v>
      </c>
      <c r="I21" s="7" t="n">
        <v>87.5</v>
      </c>
      <c r="J21" s="8" t="n">
        <v>-0.125</v>
      </c>
      <c r="K21" s="4" t="inlineStr">
        <is>
          <t>дешевле рынка</t>
        </is>
      </c>
      <c r="L21" s="9" t="n">
        <v>80</v>
      </c>
      <c r="M21" s="8" t="n">
        <v>0.376</v>
      </c>
      <c r="N21" s="8" t="n">
        <v>0.462125</v>
      </c>
      <c r="O21" s="4" t="inlineStr"/>
    </row>
    <row r="22">
      <c r="A22" s="4" t="inlineStr">
        <is>
          <t>SKU-0001</t>
        </is>
      </c>
      <c r="B22" s="4" t="inlineStr">
        <is>
          <t>Кола классическая Гранд 0,33 л</t>
        </is>
      </c>
      <c r="C22" s="4" t="inlineStr">
        <is>
          <t>Газированные напитки</t>
        </is>
      </c>
      <c r="D22" s="5" t="n">
        <v>2</v>
      </c>
      <c r="E22" s="6" t="n">
        <v>26.42</v>
      </c>
      <c r="F22" s="6" t="n">
        <v>39</v>
      </c>
      <c r="G22" s="6" t="n">
        <v>44</v>
      </c>
      <c r="H22" s="6" t="n">
        <v>39</v>
      </c>
      <c r="I22" s="7" t="n">
        <v>88.59999999999999</v>
      </c>
      <c r="J22" s="8" t="n">
        <v>-0.114</v>
      </c>
      <c r="K22" s="4" t="inlineStr">
        <is>
          <t>дешевле рынка</t>
        </is>
      </c>
      <c r="L22" s="9" t="n">
        <v>40</v>
      </c>
      <c r="M22" s="8" t="n">
        <v>0.323</v>
      </c>
      <c r="N22" s="8" t="n">
        <v>0.3394999999999999</v>
      </c>
      <c r="O22" s="4" t="inlineStr"/>
    </row>
    <row r="23">
      <c r="A23" s="4" t="inlineStr">
        <is>
          <t>SKU-0007</t>
        </is>
      </c>
      <c r="B23" s="4" t="inlineStr">
        <is>
          <t>Кола без сахара Гранд 1 л</t>
        </is>
      </c>
      <c r="C23" s="4" t="inlineStr">
        <is>
          <t>Газированные напитки</t>
        </is>
      </c>
      <c r="D23" s="5" t="n">
        <v>1</v>
      </c>
      <c r="E23" s="6" t="n">
        <v>65.78</v>
      </c>
      <c r="F23" s="6" t="n">
        <v>109</v>
      </c>
      <c r="G23" s="6" t="n">
        <v>99</v>
      </c>
      <c r="H23" s="6" t="n">
        <v>99</v>
      </c>
      <c r="I23" s="7" t="n">
        <v>110.1</v>
      </c>
      <c r="J23" s="8" t="n">
        <v>0.101</v>
      </c>
      <c r="K23" s="4" t="inlineStr">
        <is>
          <t>дороже рынка</t>
        </is>
      </c>
      <c r="L23" s="9" t="n">
        <v>100</v>
      </c>
      <c r="M23" s="8" t="n">
        <v>0.397</v>
      </c>
      <c r="N23" s="8" t="n">
        <v>0.3421999999999999</v>
      </c>
      <c r="O23" s="4" t="inlineStr"/>
    </row>
  </sheetData>
  <autoFilter ref="A2:O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9" customWidth="1" min="3" max="3"/>
    <col width="22" customWidth="1" min="4" max="4"/>
    <col width="10" customWidth="1" min="5" max="5"/>
    <col width="16" customWidth="1" min="6" max="6"/>
    <col width="20" customWidth="1" min="7" max="7"/>
    <col width="20" customWidth="1" min="8" max="8"/>
    <col width="21" customWidth="1" min="9" max="9"/>
    <col width="8" customWidth="1" min="10" max="10"/>
    <col width="18" customWidth="1" min="11" max="11"/>
  </cols>
  <sheetData>
    <row r="1">
      <c r="A1" s="1" t="inlineStr">
        <is>
          <t>Итого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">
        <f>SUBTOTAL(101,J3:J78)</f>
        <v/>
      </c>
      <c r="K1" s="1" t="n"/>
    </row>
    <row r="2">
      <c r="A2" s="1" t="inlineStr">
        <is>
          <t>SKU</t>
        </is>
      </c>
      <c r="B2" s="1" t="inlineStr">
        <is>
          <t>Наименование</t>
        </is>
      </c>
      <c r="C2" s="1" t="inlineStr">
        <is>
          <t>Бренд</t>
        </is>
      </c>
      <c r="D2" s="1" t="inlineStr">
        <is>
          <t>Категория</t>
        </is>
      </c>
      <c r="E2" s="1" t="inlineStr">
        <is>
          <t>Площадок</t>
        </is>
      </c>
      <c r="F2" s="1" t="inlineStr">
        <is>
          <t>Наша цена, руб</t>
        </is>
      </c>
      <c r="G2" s="1" t="inlineStr">
        <is>
          <t>Минимум рынка, руб</t>
        </is>
      </c>
      <c r="H2" s="1" t="inlineStr">
        <is>
          <t>Медиана рынка, руб</t>
        </is>
      </c>
      <c r="I2" s="1" t="inlineStr">
        <is>
          <t>Максимум рынка, руб</t>
        </is>
      </c>
      <c r="J2" s="1" t="inlineStr">
        <is>
          <t>Индекс</t>
        </is>
      </c>
      <c r="K2" s="1" t="inlineStr">
        <is>
          <t>Позиционирование</t>
        </is>
      </c>
    </row>
    <row r="3">
      <c r="A3" s="4" t="inlineStr">
        <is>
          <t>SKU-0037</t>
        </is>
      </c>
      <c r="B3" s="4" t="inlineStr">
        <is>
          <t>Вода детская Ледяной ключ 0,5 л</t>
        </is>
      </c>
      <c r="C3" s="4" t="inlineStr">
        <is>
          <t>Ледяной ключ</t>
        </is>
      </c>
      <c r="D3" s="4" t="inlineStr">
        <is>
          <t>Вода</t>
        </is>
      </c>
      <c r="E3" s="5" t="n">
        <v>2</v>
      </c>
      <c r="F3" s="6" t="n">
        <v>29</v>
      </c>
      <c r="G3" s="6" t="n">
        <v>28.9</v>
      </c>
      <c r="H3" s="6" t="n">
        <v>28.95</v>
      </c>
      <c r="I3" s="6" t="n">
        <v>29</v>
      </c>
      <c r="J3" s="7" t="n">
        <v>100.2</v>
      </c>
      <c r="K3" s="4" t="inlineStr">
        <is>
          <t>в рынке</t>
        </is>
      </c>
    </row>
    <row r="4">
      <c r="A4" s="4" t="inlineStr">
        <is>
          <t>SKU-0036</t>
        </is>
      </c>
      <c r="B4" s="4" t="inlineStr">
        <is>
          <t>Вода минеральная Ледяной ключ 1,5 л</t>
        </is>
      </c>
      <c r="C4" s="4" t="inlineStr">
        <is>
          <t>Ледяной ключ</t>
        </is>
      </c>
      <c r="D4" s="4" t="inlineStr">
        <is>
          <t>Вода</t>
        </is>
      </c>
      <c r="E4" s="5" t="n">
        <v>2</v>
      </c>
      <c r="F4" s="6" t="n">
        <v>59</v>
      </c>
      <c r="G4" s="6" t="n">
        <v>58.9</v>
      </c>
      <c r="H4" s="6" t="n">
        <v>58.95</v>
      </c>
      <c r="I4" s="6" t="n">
        <v>59</v>
      </c>
      <c r="J4" s="7" t="n">
        <v>100.1</v>
      </c>
      <c r="K4" s="4" t="inlineStr">
        <is>
          <t>в рынке</t>
        </is>
      </c>
    </row>
    <row r="5">
      <c r="A5" s="4" t="inlineStr">
        <is>
          <t>SKU-0038</t>
        </is>
      </c>
      <c r="B5" s="4" t="inlineStr">
        <is>
          <t>Вода детская Ледяной ключ 1,5 л</t>
        </is>
      </c>
      <c r="C5" s="4" t="inlineStr">
        <is>
          <t>Ледяной ключ</t>
        </is>
      </c>
      <c r="D5" s="4" t="inlineStr">
        <is>
          <t>Вода</t>
        </is>
      </c>
      <c r="E5" s="5" t="n">
        <v>3</v>
      </c>
      <c r="F5" s="6" t="n">
        <v>59</v>
      </c>
      <c r="G5" s="6" t="n">
        <v>59</v>
      </c>
      <c r="H5" s="6" t="n">
        <v>59</v>
      </c>
      <c r="I5" s="6" t="n">
        <v>69</v>
      </c>
      <c r="J5" s="7" t="n">
        <v>100</v>
      </c>
      <c r="K5" s="4" t="inlineStr">
        <is>
          <t>в рынке</t>
        </is>
      </c>
    </row>
    <row r="6">
      <c r="A6" s="4" t="inlineStr">
        <is>
          <t>SKU-0031</t>
        </is>
      </c>
      <c r="B6" s="4" t="inlineStr">
        <is>
          <t>Вода негазированная Горная вершина 5 л</t>
        </is>
      </c>
      <c r="C6" s="4" t="inlineStr">
        <is>
          <t>Горная вершина</t>
        </is>
      </c>
      <c r="D6" s="4" t="inlineStr">
        <is>
          <t>Вода</t>
        </is>
      </c>
      <c r="E6" s="5" t="n">
        <v>3</v>
      </c>
      <c r="F6" s="6" t="n">
        <v>139</v>
      </c>
      <c r="G6" s="6" t="n">
        <v>129</v>
      </c>
      <c r="H6" s="6" t="n">
        <v>139</v>
      </c>
      <c r="I6" s="6" t="n">
        <v>149</v>
      </c>
      <c r="J6" s="7" t="n">
        <v>100</v>
      </c>
      <c r="K6" s="4" t="inlineStr">
        <is>
          <t>в рынке</t>
        </is>
      </c>
    </row>
    <row r="7">
      <c r="A7" s="4" t="inlineStr">
        <is>
          <t>SKU-0035</t>
        </is>
      </c>
      <c r="B7" s="4" t="inlineStr">
        <is>
          <t>Вода минеральная Ледяной ключ 0,5 л</t>
        </is>
      </c>
      <c r="C7" s="4" t="inlineStr">
        <is>
          <t>Ледяной ключ</t>
        </is>
      </c>
      <c r="D7" s="4" t="inlineStr">
        <is>
          <t>Вода</t>
        </is>
      </c>
      <c r="E7" s="5" t="n">
        <v>1</v>
      </c>
      <c r="F7" s="6" t="n">
        <v>29</v>
      </c>
      <c r="G7" s="6" t="n">
        <v>29</v>
      </c>
      <c r="H7" s="6" t="n">
        <v>29</v>
      </c>
      <c r="I7" s="6" t="n">
        <v>29</v>
      </c>
      <c r="J7" s="7" t="n">
        <v>100</v>
      </c>
      <c r="K7" s="4" t="inlineStr">
        <is>
          <t>в рынке</t>
        </is>
      </c>
    </row>
    <row r="8">
      <c r="A8" s="4" t="inlineStr">
        <is>
          <t>SKU-0034</t>
        </is>
      </c>
      <c r="B8" s="4" t="inlineStr">
        <is>
          <t>Вода газированная Горная вершина 5 л</t>
        </is>
      </c>
      <c r="C8" s="4" t="inlineStr">
        <is>
          <t>Горная вершина</t>
        </is>
      </c>
      <c r="D8" s="4" t="inlineStr">
        <is>
          <t>Вода</t>
        </is>
      </c>
      <c r="E8" s="5" t="n">
        <v>2</v>
      </c>
      <c r="F8" s="6" t="n">
        <v>139</v>
      </c>
      <c r="G8" s="6" t="n">
        <v>139</v>
      </c>
      <c r="H8" s="6" t="n">
        <v>144</v>
      </c>
      <c r="I8" s="6" t="n">
        <v>149</v>
      </c>
      <c r="J8" s="7" t="n">
        <v>96.5</v>
      </c>
      <c r="K8" s="4" t="inlineStr">
        <is>
          <t>дешевле рынка</t>
        </is>
      </c>
    </row>
    <row r="9">
      <c r="A9" s="4" t="inlineStr">
        <is>
          <t>SKU-0033</t>
        </is>
      </c>
      <c r="B9" s="4" t="inlineStr">
        <is>
          <t>Вода газированная Горная вершина 1,5 л</t>
        </is>
      </c>
      <c r="C9" s="4" t="inlineStr">
        <is>
          <t>Горная вершина</t>
        </is>
      </c>
      <c r="D9" s="4" t="inlineStr">
        <is>
          <t>Вода</t>
        </is>
      </c>
      <c r="E9" s="5" t="n">
        <v>3</v>
      </c>
      <c r="F9" s="6" t="n">
        <v>49</v>
      </c>
      <c r="G9" s="6" t="n">
        <v>48.99</v>
      </c>
      <c r="H9" s="6" t="n">
        <v>58.9</v>
      </c>
      <c r="I9" s="6" t="n">
        <v>59</v>
      </c>
      <c r="J9" s="7" t="n">
        <v>83.2</v>
      </c>
      <c r="K9" s="4" t="inlineStr">
        <is>
          <t>дешевле рынка</t>
        </is>
      </c>
    </row>
    <row r="10">
      <c r="A10" s="4" t="inlineStr">
        <is>
          <t>SKU-0030</t>
        </is>
      </c>
      <c r="B10" s="4" t="inlineStr">
        <is>
          <t>Вода негазированная Горная вершина 1,5 л</t>
        </is>
      </c>
      <c r="C10" s="4" t="inlineStr">
        <is>
          <t>Горная вершина</t>
        </is>
      </c>
      <c r="D10" s="4" t="inlineStr">
        <is>
          <t>Вода</t>
        </is>
      </c>
      <c r="E10" s="5" t="n">
        <v>2</v>
      </c>
      <c r="F10" s="6" t="n">
        <v>49</v>
      </c>
      <c r="G10" s="6" t="n">
        <v>58.9</v>
      </c>
      <c r="H10" s="6" t="n">
        <v>58.95</v>
      </c>
      <c r="I10" s="6" t="n">
        <v>59</v>
      </c>
      <c r="J10" s="7" t="n">
        <v>83.09999999999999</v>
      </c>
      <c r="K10" s="4" t="inlineStr">
        <is>
          <t>дешевле рынка</t>
        </is>
      </c>
    </row>
    <row r="11">
      <c r="A11" s="4" t="inlineStr">
        <is>
          <t>SKU-0032</t>
        </is>
      </c>
      <c r="B11" s="4" t="inlineStr">
        <is>
          <t>Вода газированная Горная вершина 0,5 л</t>
        </is>
      </c>
      <c r="C11" s="4" t="inlineStr">
        <is>
          <t>Горная вершина</t>
        </is>
      </c>
      <c r="D11" s="4" t="inlineStr">
        <is>
          <t>Вода</t>
        </is>
      </c>
      <c r="E11" s="5" t="n">
        <v>2</v>
      </c>
      <c r="F11" s="6" t="n">
        <v>19</v>
      </c>
      <c r="G11" s="6" t="n">
        <v>19</v>
      </c>
      <c r="H11" s="6" t="n">
        <v>23.95</v>
      </c>
      <c r="I11" s="6" t="n">
        <v>28.9</v>
      </c>
      <c r="J11" s="7" t="n">
        <v>79.3</v>
      </c>
      <c r="K11" s="4" t="inlineStr">
        <is>
          <t>дешевле рынка</t>
        </is>
      </c>
    </row>
    <row r="12">
      <c r="A12" s="4" t="inlineStr">
        <is>
          <t>SKU-0029</t>
        </is>
      </c>
      <c r="B12" s="4" t="inlineStr">
        <is>
          <t>Вода негазированная Горная вершина 0,5 л</t>
        </is>
      </c>
      <c r="C12" s="4" t="inlineStr">
        <is>
          <t>Горная вершина</t>
        </is>
      </c>
      <c r="D12" s="4" t="inlineStr">
        <is>
          <t>Вода</t>
        </is>
      </c>
      <c r="E12" s="5" t="n">
        <v>2</v>
      </c>
      <c r="F12" s="6" t="n">
        <v>19</v>
      </c>
      <c r="G12" s="6" t="n">
        <v>18.9</v>
      </c>
      <c r="H12" s="6" t="n">
        <v>23.945</v>
      </c>
      <c r="I12" s="6" t="n">
        <v>28.99</v>
      </c>
      <c r="J12" s="7" t="n">
        <v>79.3</v>
      </c>
      <c r="K12" s="4" t="inlineStr">
        <is>
          <t>дешевле рынка</t>
        </is>
      </c>
    </row>
    <row r="13">
      <c r="A13" s="4" t="inlineStr">
        <is>
          <t>SKU-0020</t>
        </is>
      </c>
      <c r="B13" s="4" t="inlineStr">
        <is>
          <t>Лимонад Крем-сода Лимонадная артель 1 л</t>
        </is>
      </c>
      <c r="C13" s="4" t="inlineStr">
        <is>
          <t>Лимонадная артель</t>
        </is>
      </c>
      <c r="D13" s="4" t="inlineStr">
        <is>
          <t>Газированные напитки</t>
        </is>
      </c>
      <c r="E13" s="5" t="n">
        <v>2</v>
      </c>
      <c r="F13" s="6" t="n">
        <v>109</v>
      </c>
      <c r="G13" s="6" t="n">
        <v>69</v>
      </c>
      <c r="H13" s="6" t="n">
        <v>78.995</v>
      </c>
      <c r="I13" s="6" t="n">
        <v>88.98999999999999</v>
      </c>
      <c r="J13" s="7" t="n">
        <v>138</v>
      </c>
      <c r="K13" s="4" t="inlineStr">
        <is>
          <t>дороже рынка</t>
        </is>
      </c>
    </row>
    <row r="14">
      <c r="A14" s="4" t="inlineStr">
        <is>
          <t>SKU-0002</t>
        </is>
      </c>
      <c r="B14" s="4" t="inlineStr">
        <is>
          <t>Кола классическая Гранд 0,5 л</t>
        </is>
      </c>
      <c r="C14" s="4" t="inlineStr">
        <is>
          <t>Гранд</t>
        </is>
      </c>
      <c r="D14" s="4" t="inlineStr">
        <is>
          <t>Газированные напитки</t>
        </is>
      </c>
      <c r="E14" s="5" t="n">
        <v>1</v>
      </c>
      <c r="F14" s="6" t="n">
        <v>59</v>
      </c>
      <c r="G14" s="6" t="n">
        <v>49</v>
      </c>
      <c r="H14" s="6" t="n">
        <v>49</v>
      </c>
      <c r="I14" s="6" t="n">
        <v>49</v>
      </c>
      <c r="J14" s="7" t="n">
        <v>120.4</v>
      </c>
      <c r="K14" s="4" t="inlineStr">
        <is>
          <t>дороже рынка</t>
        </is>
      </c>
    </row>
    <row r="15">
      <c r="A15" s="4" t="inlineStr">
        <is>
          <t>SKU-0007</t>
        </is>
      </c>
      <c r="B15" s="4" t="inlineStr">
        <is>
          <t>Кола без сахара Гранд 1 л</t>
        </is>
      </c>
      <c r="C15" s="4" t="inlineStr">
        <is>
          <t>Гранд</t>
        </is>
      </c>
      <c r="D15" s="4" t="inlineStr">
        <is>
          <t>Газированные напитки</t>
        </is>
      </c>
      <c r="E15" s="5" t="n">
        <v>1</v>
      </c>
      <c r="F15" s="6" t="n">
        <v>109</v>
      </c>
      <c r="G15" s="6" t="n">
        <v>99</v>
      </c>
      <c r="H15" s="6" t="n">
        <v>99</v>
      </c>
      <c r="I15" s="6" t="n">
        <v>99</v>
      </c>
      <c r="J15" s="7" t="n">
        <v>110.1</v>
      </c>
      <c r="K15" s="4" t="inlineStr">
        <is>
          <t>дороже рынка</t>
        </is>
      </c>
    </row>
    <row r="16">
      <c r="A16" s="4" t="inlineStr">
        <is>
          <t>SKU-0009</t>
        </is>
      </c>
      <c r="B16" s="4" t="inlineStr">
        <is>
          <t>Кола ваниль Гранд 0,33 л</t>
        </is>
      </c>
      <c r="C16" s="4" t="inlineStr">
        <is>
          <t>Гранд</t>
        </is>
      </c>
      <c r="D16" s="4" t="inlineStr">
        <is>
          <t>Газированные напитки</t>
        </is>
      </c>
      <c r="E16" s="5" t="n">
        <v>2</v>
      </c>
      <c r="F16" s="6" t="n">
        <v>39</v>
      </c>
      <c r="G16" s="6" t="n">
        <v>38.9</v>
      </c>
      <c r="H16" s="6" t="n">
        <v>38.9</v>
      </c>
      <c r="I16" s="6" t="n">
        <v>38.9</v>
      </c>
      <c r="J16" s="7" t="n">
        <v>100.3</v>
      </c>
      <c r="K16" s="4" t="inlineStr">
        <is>
          <t>в рынке</t>
        </is>
      </c>
    </row>
    <row r="17">
      <c r="A17" s="4" t="inlineStr">
        <is>
          <t>SKU-0019</t>
        </is>
      </c>
      <c r="B17" s="4" t="inlineStr">
        <is>
          <t>Лимонад Крем-сода Лимонадная артель 0,5 л</t>
        </is>
      </c>
      <c r="C17" s="4" t="inlineStr">
        <is>
          <t>Лимонадная артель</t>
        </is>
      </c>
      <c r="D17" s="4" t="inlineStr">
        <is>
          <t>Газированные напитки</t>
        </is>
      </c>
      <c r="E17" s="5" t="n">
        <v>2</v>
      </c>
      <c r="F17" s="6" t="n">
        <v>59</v>
      </c>
      <c r="G17" s="6" t="n">
        <v>58.9</v>
      </c>
      <c r="H17" s="6" t="n">
        <v>58.95</v>
      </c>
      <c r="I17" s="6" t="n">
        <v>59</v>
      </c>
      <c r="J17" s="7" t="n">
        <v>100.1</v>
      </c>
      <c r="K17" s="4" t="inlineStr">
        <is>
          <t>в рынке</t>
        </is>
      </c>
    </row>
    <row r="18">
      <c r="A18" s="4" t="inlineStr">
        <is>
          <t>SKU-0005</t>
        </is>
      </c>
      <c r="B18" s="4" t="inlineStr">
        <is>
          <t>Кола без сахара Гранд 0,33 л</t>
        </is>
      </c>
      <c r="C18" s="4" t="inlineStr">
        <is>
          <t>Гранд</t>
        </is>
      </c>
      <c r="D18" s="4" t="inlineStr">
        <is>
          <t>Газированные напитки</t>
        </is>
      </c>
      <c r="E18" s="5" t="n">
        <v>2</v>
      </c>
      <c r="F18" s="6" t="n">
        <v>39</v>
      </c>
      <c r="G18" s="6" t="n">
        <v>38.9</v>
      </c>
      <c r="H18" s="6" t="n">
        <v>38.945</v>
      </c>
      <c r="I18" s="6" t="n">
        <v>38.99</v>
      </c>
      <c r="J18" s="7" t="n">
        <v>100.1</v>
      </c>
      <c r="K18" s="4" t="inlineStr">
        <is>
          <t>в рынке</t>
        </is>
      </c>
    </row>
    <row r="19">
      <c r="A19" s="4" t="inlineStr">
        <is>
          <t>SKU-0008</t>
        </is>
      </c>
      <c r="B19" s="4" t="inlineStr">
        <is>
          <t>Кола без сахара Гранд 1,5 л</t>
        </is>
      </c>
      <c r="C19" s="4" t="inlineStr">
        <is>
          <t>Гранд</t>
        </is>
      </c>
      <c r="D19" s="4" t="inlineStr">
        <is>
          <t>Газированные напитки</t>
        </is>
      </c>
      <c r="E19" s="5" t="n">
        <v>1</v>
      </c>
      <c r="F19" s="6" t="n">
        <v>129</v>
      </c>
      <c r="G19" s="6" t="n">
        <v>128.99</v>
      </c>
      <c r="H19" s="6" t="n">
        <v>128.99</v>
      </c>
      <c r="I19" s="6" t="n">
        <v>128.99</v>
      </c>
      <c r="J19" s="7" t="n">
        <v>100</v>
      </c>
      <c r="K19" s="4" t="inlineStr">
        <is>
          <t>в рынке</t>
        </is>
      </c>
    </row>
    <row r="20">
      <c r="A20" s="4" t="inlineStr">
        <is>
          <t>SKU-0011</t>
        </is>
      </c>
      <c r="B20" s="4" t="inlineStr">
        <is>
          <t>Кола ваниль Гранд 1 л</t>
        </is>
      </c>
      <c r="C20" s="4" t="inlineStr">
        <is>
          <t>Гранд</t>
        </is>
      </c>
      <c r="D20" s="4" t="inlineStr">
        <is>
          <t>Газированные напитки</t>
        </is>
      </c>
      <c r="E20" s="5" t="n">
        <v>1</v>
      </c>
      <c r="F20" s="6" t="n">
        <v>99</v>
      </c>
      <c r="G20" s="6" t="n">
        <v>99</v>
      </c>
      <c r="H20" s="6" t="n">
        <v>99</v>
      </c>
      <c r="I20" s="6" t="n">
        <v>99</v>
      </c>
      <c r="J20" s="7" t="n">
        <v>100</v>
      </c>
      <c r="K20" s="4" t="inlineStr">
        <is>
          <t>в рынке</t>
        </is>
      </c>
    </row>
    <row r="21">
      <c r="A21" s="4" t="inlineStr">
        <is>
          <t>SKU-0013</t>
        </is>
      </c>
      <c r="B21" s="4" t="inlineStr">
        <is>
          <t>Лимонад Тархун Цитрус Лайн 0,5 л</t>
        </is>
      </c>
      <c r="C21" s="4" t="inlineStr">
        <is>
          <t>Цитрус Лайн</t>
        </is>
      </c>
      <c r="D21" s="4" t="inlineStr">
        <is>
          <t>Газированные напитки</t>
        </is>
      </c>
      <c r="E21" s="5" t="n">
        <v>3</v>
      </c>
      <c r="F21" s="6" t="n">
        <v>49</v>
      </c>
      <c r="G21" s="6" t="n">
        <v>39</v>
      </c>
      <c r="H21" s="6" t="n">
        <v>48.99</v>
      </c>
      <c r="I21" s="6" t="n">
        <v>49</v>
      </c>
      <c r="J21" s="7" t="n">
        <v>100</v>
      </c>
      <c r="K21" s="4" t="inlineStr">
        <is>
          <t>в рынке</t>
        </is>
      </c>
    </row>
    <row r="22">
      <c r="A22" s="4" t="inlineStr">
        <is>
          <t>SKU-0004</t>
        </is>
      </c>
      <c r="B22" s="4" t="inlineStr">
        <is>
          <t>Кола классическая Гранд 1,5 л</t>
        </is>
      </c>
      <c r="C22" s="4" t="inlineStr">
        <is>
          <t>Гранд</t>
        </is>
      </c>
      <c r="D22" s="4" t="inlineStr">
        <is>
          <t>Газированные напитки</t>
        </is>
      </c>
      <c r="E22" s="5" t="n">
        <v>3</v>
      </c>
      <c r="F22" s="6" t="n">
        <v>149</v>
      </c>
      <c r="G22" s="6" t="n">
        <v>149</v>
      </c>
      <c r="H22" s="6" t="n">
        <v>149</v>
      </c>
      <c r="I22" s="6" t="n">
        <v>158.99</v>
      </c>
      <c r="J22" s="7" t="n">
        <v>100</v>
      </c>
      <c r="K22" s="4" t="inlineStr">
        <is>
          <t>в рынке</t>
        </is>
      </c>
    </row>
    <row r="23">
      <c r="A23" s="4" t="inlineStr">
        <is>
          <t>SKU-0016</t>
        </is>
      </c>
      <c r="B23" s="4" t="inlineStr">
        <is>
          <t>Лимонад Дюшес Цитрус Лайн 1,5 л</t>
        </is>
      </c>
      <c r="C23" s="4" t="inlineStr">
        <is>
          <t>Цитрус Лайн</t>
        </is>
      </c>
      <c r="D23" s="4" t="inlineStr">
        <is>
          <t>Газированные напитки</t>
        </is>
      </c>
      <c r="E23" s="5" t="n">
        <v>3</v>
      </c>
      <c r="F23" s="6" t="n">
        <v>139</v>
      </c>
      <c r="G23" s="6" t="n">
        <v>129</v>
      </c>
      <c r="H23" s="6" t="n">
        <v>139</v>
      </c>
      <c r="I23" s="6" t="n">
        <v>149</v>
      </c>
      <c r="J23" s="7" t="n">
        <v>100</v>
      </c>
      <c r="K23" s="4" t="inlineStr">
        <is>
          <t>в рынке</t>
        </is>
      </c>
    </row>
    <row r="24">
      <c r="A24" s="4" t="inlineStr">
        <is>
          <t>SKU-0017</t>
        </is>
      </c>
      <c r="B24" s="4" t="inlineStr">
        <is>
          <t>Лимонад Груша Цитрус Лайн 0,5 л</t>
        </is>
      </c>
      <c r="C24" s="4" t="inlineStr">
        <is>
          <t>Цитрус Лайн</t>
        </is>
      </c>
      <c r="D24" s="4" t="inlineStr">
        <is>
          <t>Газированные напитки</t>
        </is>
      </c>
      <c r="E24" s="5" t="n">
        <v>3</v>
      </c>
      <c r="F24" s="6" t="n">
        <v>49</v>
      </c>
      <c r="G24" s="6" t="n">
        <v>49</v>
      </c>
      <c r="H24" s="6" t="n">
        <v>49</v>
      </c>
      <c r="I24" s="6" t="n">
        <v>49</v>
      </c>
      <c r="J24" s="7" t="n">
        <v>100</v>
      </c>
      <c r="K24" s="4" t="inlineStr">
        <is>
          <t>в рынке</t>
        </is>
      </c>
    </row>
    <row r="25">
      <c r="A25" s="4" t="inlineStr">
        <is>
          <t>SKU-0006</t>
        </is>
      </c>
      <c r="B25" s="4" t="inlineStr">
        <is>
          <t>Кола без сахара Гранд 0,5 л</t>
        </is>
      </c>
      <c r="C25" s="4" t="inlineStr">
        <is>
          <t>Гранд</t>
        </is>
      </c>
      <c r="D25" s="4" t="inlineStr">
        <is>
          <t>Газированные напитки</t>
        </is>
      </c>
      <c r="E25" s="5" t="n">
        <v>3</v>
      </c>
      <c r="F25" s="6" t="n">
        <v>59</v>
      </c>
      <c r="G25" s="6" t="n">
        <v>58.99</v>
      </c>
      <c r="H25" s="6" t="n">
        <v>59</v>
      </c>
      <c r="I25" s="6" t="n">
        <v>59</v>
      </c>
      <c r="J25" s="7" t="n">
        <v>100</v>
      </c>
      <c r="K25" s="4" t="inlineStr">
        <is>
          <t>в рынке</t>
        </is>
      </c>
    </row>
    <row r="26">
      <c r="A26" s="4" t="inlineStr">
        <is>
          <t>SKU-0021</t>
        </is>
      </c>
      <c r="B26" s="4" t="inlineStr">
        <is>
          <t>Лимонад Барбарис Лимонадная артель 0,5 л</t>
        </is>
      </c>
      <c r="C26" s="4" t="inlineStr">
        <is>
          <t>Лимонадная артель</t>
        </is>
      </c>
      <c r="D26" s="4" t="inlineStr">
        <is>
          <t>Газированные напитки</t>
        </is>
      </c>
      <c r="E26" s="5" t="n">
        <v>1</v>
      </c>
      <c r="F26" s="6" t="n">
        <v>69</v>
      </c>
      <c r="G26" s="6" t="n">
        <v>68.98999999999999</v>
      </c>
      <c r="H26" s="6" t="n">
        <v>68.98999999999999</v>
      </c>
      <c r="I26" s="6" t="n">
        <v>68.98999999999999</v>
      </c>
      <c r="J26" s="7" t="n">
        <v>100</v>
      </c>
      <c r="K26" s="4" t="inlineStr">
        <is>
          <t>в рынке</t>
        </is>
      </c>
    </row>
    <row r="27">
      <c r="A27" s="4" t="inlineStr">
        <is>
          <t>SKU-0022</t>
        </is>
      </c>
      <c r="B27" s="4" t="inlineStr">
        <is>
          <t>Лимонад Барбарис Лимонадная артель 1 л</t>
        </is>
      </c>
      <c r="C27" s="4" t="inlineStr">
        <is>
          <t>Лимонадная артель</t>
        </is>
      </c>
      <c r="D27" s="4" t="inlineStr">
        <is>
          <t>Газированные напитки</t>
        </is>
      </c>
      <c r="E27" s="5" t="n">
        <v>2</v>
      </c>
      <c r="F27" s="6" t="n">
        <v>109</v>
      </c>
      <c r="G27" s="6" t="n">
        <v>108.99</v>
      </c>
      <c r="H27" s="6" t="n">
        <v>108.995</v>
      </c>
      <c r="I27" s="6" t="n">
        <v>109</v>
      </c>
      <c r="J27" s="7" t="n">
        <v>100</v>
      </c>
      <c r="K27" s="4" t="inlineStr">
        <is>
          <t>в рынке</t>
        </is>
      </c>
    </row>
    <row r="28">
      <c r="A28" s="4" t="inlineStr">
        <is>
          <t>SKU-0025</t>
        </is>
      </c>
      <c r="B28" s="4" t="inlineStr">
        <is>
          <t>Тоник классический Бриз 0,33 л</t>
        </is>
      </c>
      <c r="C28" s="4" t="inlineStr">
        <is>
          <t>Бриз</t>
        </is>
      </c>
      <c r="D28" s="4" t="inlineStr">
        <is>
          <t>Газированные напитки</t>
        </is>
      </c>
      <c r="E28" s="5" t="n">
        <v>3</v>
      </c>
      <c r="F28" s="6" t="n">
        <v>49</v>
      </c>
      <c r="G28" s="6" t="n">
        <v>48.9</v>
      </c>
      <c r="H28" s="6" t="n">
        <v>49</v>
      </c>
      <c r="I28" s="6" t="n">
        <v>58.9</v>
      </c>
      <c r="J28" s="7" t="n">
        <v>100</v>
      </c>
      <c r="K28" s="4" t="inlineStr">
        <is>
          <t>в рынке</t>
        </is>
      </c>
    </row>
    <row r="29">
      <c r="A29" s="4" t="inlineStr">
        <is>
          <t>SKU-0027</t>
        </is>
      </c>
      <c r="B29" s="4" t="inlineStr">
        <is>
          <t>Тоник грейпфрут Бриз 0,33 л</t>
        </is>
      </c>
      <c r="C29" s="4" t="inlineStr">
        <is>
          <t>Бриз</t>
        </is>
      </c>
      <c r="D29" s="4" t="inlineStr">
        <is>
          <t>Газированные напитки</t>
        </is>
      </c>
      <c r="E29" s="5" t="n">
        <v>2</v>
      </c>
      <c r="F29" s="6" t="n">
        <v>59</v>
      </c>
      <c r="G29" s="6" t="n">
        <v>58.99</v>
      </c>
      <c r="H29" s="6" t="n">
        <v>58.995</v>
      </c>
      <c r="I29" s="6" t="n">
        <v>59</v>
      </c>
      <c r="J29" s="7" t="n">
        <v>100</v>
      </c>
      <c r="K29" s="4" t="inlineStr">
        <is>
          <t>в рынке</t>
        </is>
      </c>
    </row>
    <row r="30">
      <c r="A30" s="4" t="inlineStr">
        <is>
          <t>SKU-0015</t>
        </is>
      </c>
      <c r="B30" s="4" t="inlineStr">
        <is>
          <t>Лимонад Дюшес Цитрус Лайн 0,5 л</t>
        </is>
      </c>
      <c r="C30" s="4" t="inlineStr">
        <is>
          <t>Цитрус Лайн</t>
        </is>
      </c>
      <c r="D30" s="4" t="inlineStr">
        <is>
          <t>Газированные напитки</t>
        </is>
      </c>
      <c r="E30" s="5" t="n">
        <v>3</v>
      </c>
      <c r="F30" s="6" t="n">
        <v>49</v>
      </c>
      <c r="G30" s="6" t="n">
        <v>48.9</v>
      </c>
      <c r="H30" s="6" t="n">
        <v>48.99</v>
      </c>
      <c r="I30" s="6" t="n">
        <v>49</v>
      </c>
      <c r="J30" s="7" t="n">
        <v>100</v>
      </c>
      <c r="K30" s="4" t="inlineStr">
        <is>
          <t>в рынке</t>
        </is>
      </c>
    </row>
    <row r="31">
      <c r="A31" s="4" t="inlineStr">
        <is>
          <t>SKU-0026</t>
        </is>
      </c>
      <c r="B31" s="4" t="inlineStr">
        <is>
          <t>Тоник классический Бриз 1 л</t>
        </is>
      </c>
      <c r="C31" s="4" t="inlineStr">
        <is>
          <t>Бриз</t>
        </is>
      </c>
      <c r="D31" s="4" t="inlineStr">
        <is>
          <t>Газированные напитки</t>
        </is>
      </c>
      <c r="E31" s="5" t="n">
        <v>2</v>
      </c>
      <c r="F31" s="6" t="n">
        <v>109</v>
      </c>
      <c r="G31" s="6" t="n">
        <v>109</v>
      </c>
      <c r="H31" s="6" t="n">
        <v>114</v>
      </c>
      <c r="I31" s="6" t="n">
        <v>119</v>
      </c>
      <c r="J31" s="7" t="n">
        <v>95.59999999999999</v>
      </c>
      <c r="K31" s="4" t="inlineStr">
        <is>
          <t>дешевле рынка</t>
        </is>
      </c>
    </row>
    <row r="32">
      <c r="A32" s="4" t="inlineStr">
        <is>
          <t>SKU-0012</t>
        </is>
      </c>
      <c r="B32" s="4" t="inlineStr">
        <is>
          <t>Кола ваниль Гранд 1,5 л</t>
        </is>
      </c>
      <c r="C32" s="4" t="inlineStr">
        <is>
          <t>Гранд</t>
        </is>
      </c>
      <c r="D32" s="4" t="inlineStr">
        <is>
          <t>Газированные напитки</t>
        </is>
      </c>
      <c r="E32" s="5" t="n">
        <v>2</v>
      </c>
      <c r="F32" s="6" t="n">
        <v>159</v>
      </c>
      <c r="G32" s="6" t="n">
        <v>159</v>
      </c>
      <c r="H32" s="6" t="n">
        <v>169</v>
      </c>
      <c r="I32" s="6" t="n">
        <v>179</v>
      </c>
      <c r="J32" s="7" t="n">
        <v>94.09999999999999</v>
      </c>
      <c r="K32" s="4" t="inlineStr">
        <is>
          <t>дешевле рынка</t>
        </is>
      </c>
    </row>
    <row r="33">
      <c r="A33" s="4" t="inlineStr">
        <is>
          <t>SKU-0028</t>
        </is>
      </c>
      <c r="B33" s="4" t="inlineStr">
        <is>
          <t>Тоник грейпфрут Бриз 1 л</t>
        </is>
      </c>
      <c r="C33" s="4" t="inlineStr">
        <is>
          <t>Бриз</t>
        </is>
      </c>
      <c r="D33" s="4" t="inlineStr">
        <is>
          <t>Газированные напитки</t>
        </is>
      </c>
      <c r="E33" s="5" t="n">
        <v>3</v>
      </c>
      <c r="F33" s="6" t="n">
        <v>139</v>
      </c>
      <c r="G33" s="6" t="n">
        <v>129</v>
      </c>
      <c r="H33" s="6" t="n">
        <v>148.9</v>
      </c>
      <c r="I33" s="6" t="n">
        <v>148.99</v>
      </c>
      <c r="J33" s="7" t="n">
        <v>93.40000000000001</v>
      </c>
      <c r="K33" s="4" t="inlineStr">
        <is>
          <t>дешевле рынка</t>
        </is>
      </c>
    </row>
    <row r="34">
      <c r="A34" s="4" t="inlineStr">
        <is>
          <t>SKU-0024</t>
        </is>
      </c>
      <c r="B34" s="4" t="inlineStr">
        <is>
          <t>Лимонад Колокольчик Лимонадная артель 1 л</t>
        </is>
      </c>
      <c r="C34" s="4" t="inlineStr">
        <is>
          <t>Лимонадная артель</t>
        </is>
      </c>
      <c r="D34" s="4" t="inlineStr">
        <is>
          <t>Газированные напитки</t>
        </is>
      </c>
      <c r="E34" s="5" t="n">
        <v>2</v>
      </c>
      <c r="F34" s="6" t="n">
        <v>109</v>
      </c>
      <c r="G34" s="6" t="n">
        <v>119</v>
      </c>
      <c r="H34" s="6" t="n">
        <v>119</v>
      </c>
      <c r="I34" s="6" t="n">
        <v>119</v>
      </c>
      <c r="J34" s="7" t="n">
        <v>91.59999999999999</v>
      </c>
      <c r="K34" s="4" t="inlineStr">
        <is>
          <t>дешевле рынка</t>
        </is>
      </c>
    </row>
    <row r="35">
      <c r="A35" s="4" t="inlineStr">
        <is>
          <t>SKU-0014</t>
        </is>
      </c>
      <c r="B35" s="4" t="inlineStr">
        <is>
          <t>Лимонад Тархун Цитрус Лайн 1,5 л</t>
        </is>
      </c>
      <c r="C35" s="4" t="inlineStr">
        <is>
          <t>Цитрус Лайн</t>
        </is>
      </c>
      <c r="D35" s="4" t="inlineStr">
        <is>
          <t>Газированные напитки</t>
        </is>
      </c>
      <c r="E35" s="5" t="n">
        <v>1</v>
      </c>
      <c r="F35" s="6" t="n">
        <v>109</v>
      </c>
      <c r="G35" s="6" t="n">
        <v>119</v>
      </c>
      <c r="H35" s="6" t="n">
        <v>119</v>
      </c>
      <c r="I35" s="6" t="n">
        <v>119</v>
      </c>
      <c r="J35" s="7" t="n">
        <v>91.59999999999999</v>
      </c>
      <c r="K35" s="4" t="inlineStr">
        <is>
          <t>дешевле рынка</t>
        </is>
      </c>
    </row>
    <row r="36">
      <c r="A36" s="4" t="inlineStr">
        <is>
          <t>SKU-0003</t>
        </is>
      </c>
      <c r="B36" s="4" t="inlineStr">
        <is>
          <t>Кола классическая Гранд 1 л</t>
        </is>
      </c>
      <c r="C36" s="4" t="inlineStr">
        <is>
          <t>Гранд</t>
        </is>
      </c>
      <c r="D36" s="4" t="inlineStr">
        <is>
          <t>Газированные напитки</t>
        </is>
      </c>
      <c r="E36" s="5" t="n">
        <v>2</v>
      </c>
      <c r="F36" s="6" t="n">
        <v>99</v>
      </c>
      <c r="G36" s="6" t="n">
        <v>98.90000000000001</v>
      </c>
      <c r="H36" s="6" t="n">
        <v>108.9</v>
      </c>
      <c r="I36" s="6" t="n">
        <v>118.9</v>
      </c>
      <c r="J36" s="7" t="n">
        <v>90.90000000000001</v>
      </c>
      <c r="K36" s="4" t="inlineStr">
        <is>
          <t>дешевле рынка</t>
        </is>
      </c>
    </row>
    <row r="37">
      <c r="A37" s="4" t="inlineStr">
        <is>
          <t>SKU-0001</t>
        </is>
      </c>
      <c r="B37" s="4" t="inlineStr">
        <is>
          <t>Кола классическая Гранд 0,33 л</t>
        </is>
      </c>
      <c r="C37" s="4" t="inlineStr">
        <is>
          <t>Гранд</t>
        </is>
      </c>
      <c r="D37" s="4" t="inlineStr">
        <is>
          <t>Газированные напитки</t>
        </is>
      </c>
      <c r="E37" s="5" t="n">
        <v>2</v>
      </c>
      <c r="F37" s="6" t="n">
        <v>39</v>
      </c>
      <c r="G37" s="6" t="n">
        <v>39</v>
      </c>
      <c r="H37" s="6" t="n">
        <v>44</v>
      </c>
      <c r="I37" s="6" t="n">
        <v>49</v>
      </c>
      <c r="J37" s="7" t="n">
        <v>88.59999999999999</v>
      </c>
      <c r="K37" s="4" t="inlineStr">
        <is>
          <t>дешевле рынка</t>
        </is>
      </c>
    </row>
    <row r="38">
      <c r="A38" s="4" t="inlineStr">
        <is>
          <t>SKU-0023</t>
        </is>
      </c>
      <c r="B38" s="4" t="inlineStr">
        <is>
          <t>Лимонад Колокольчик Лимонадная артель 0,5 л</t>
        </is>
      </c>
      <c r="C38" s="4" t="inlineStr">
        <is>
          <t>Лимонадная артель</t>
        </is>
      </c>
      <c r="D38" s="4" t="inlineStr">
        <is>
          <t>Газированные напитки</t>
        </is>
      </c>
      <c r="E38" s="5" t="n">
        <v>3</v>
      </c>
      <c r="F38" s="6" t="n">
        <v>69</v>
      </c>
      <c r="G38" s="6" t="n">
        <v>68.90000000000001</v>
      </c>
      <c r="H38" s="6" t="n">
        <v>78.90000000000001</v>
      </c>
      <c r="I38" s="6" t="n">
        <v>79</v>
      </c>
      <c r="J38" s="7" t="n">
        <v>87.5</v>
      </c>
      <c r="K38" s="4" t="inlineStr">
        <is>
          <t>дешевле рынка</t>
        </is>
      </c>
    </row>
    <row r="39">
      <c r="A39" s="4" t="inlineStr">
        <is>
          <t>SKU-0010</t>
        </is>
      </c>
      <c r="B39" s="4" t="inlineStr">
        <is>
          <t>Кола ваниль Гранд 0,5 л</t>
        </is>
      </c>
      <c r="C39" s="4" t="inlineStr">
        <is>
          <t>Гранд</t>
        </is>
      </c>
      <c r="D39" s="4" t="inlineStr">
        <is>
          <t>Газированные напитки</t>
        </is>
      </c>
      <c r="E39" s="5" t="n">
        <v>3</v>
      </c>
      <c r="F39" s="6" t="n">
        <v>59</v>
      </c>
      <c r="G39" s="6" t="n">
        <v>69</v>
      </c>
      <c r="H39" s="6" t="n">
        <v>69</v>
      </c>
      <c r="I39" s="6" t="n">
        <v>78.90000000000001</v>
      </c>
      <c r="J39" s="7" t="n">
        <v>85.5</v>
      </c>
      <c r="K39" s="4" t="inlineStr">
        <is>
          <t>дешевле рынка</t>
        </is>
      </c>
    </row>
    <row r="40">
      <c r="A40" s="4" t="inlineStr">
        <is>
          <t>SKU-0018</t>
        </is>
      </c>
      <c r="B40" s="4" t="inlineStr">
        <is>
          <t>Лимонад Груша Цитрус Лайн 1,5 л</t>
        </is>
      </c>
      <c r="C40" s="4" t="inlineStr">
        <is>
          <t>Цитрус Лайн</t>
        </is>
      </c>
      <c r="D40" s="4" t="inlineStr">
        <is>
          <t>Газированные напитки</t>
        </is>
      </c>
      <c r="E40" s="5" t="n">
        <v>2</v>
      </c>
      <c r="F40" s="6" t="n">
        <v>119</v>
      </c>
      <c r="G40" s="6" t="n">
        <v>138.9</v>
      </c>
      <c r="H40" s="6" t="n">
        <v>143.95</v>
      </c>
      <c r="I40" s="6" t="n">
        <v>149</v>
      </c>
      <c r="J40" s="7" t="n">
        <v>82.7</v>
      </c>
      <c r="K40" s="4" t="inlineStr">
        <is>
          <t>дешевле рынка</t>
        </is>
      </c>
    </row>
    <row r="41">
      <c r="A41" s="4" t="inlineStr">
        <is>
          <t>SKU-0064</t>
        </is>
      </c>
      <c r="B41" s="4" t="inlineStr">
        <is>
          <t>Квас хлебный Хлебный двор 1,5 л</t>
        </is>
      </c>
      <c r="C41" s="4" t="inlineStr">
        <is>
          <t>Хлебный двор</t>
        </is>
      </c>
      <c r="D41" s="4" t="inlineStr">
        <is>
          <t>Квас</t>
        </is>
      </c>
      <c r="E41" s="5" t="n">
        <v>2</v>
      </c>
      <c r="F41" s="6" t="n">
        <v>89</v>
      </c>
      <c r="G41" s="6" t="n">
        <v>78.98999999999999</v>
      </c>
      <c r="H41" s="6" t="n">
        <v>78.995</v>
      </c>
      <c r="I41" s="6" t="n">
        <v>79</v>
      </c>
      <c r="J41" s="7" t="n">
        <v>112.7</v>
      </c>
      <c r="K41" s="4" t="inlineStr">
        <is>
          <t>дороже рынка</t>
        </is>
      </c>
    </row>
    <row r="42">
      <c r="A42" s="4" t="inlineStr">
        <is>
          <t>SKU-0067</t>
        </is>
      </c>
      <c r="B42" s="4" t="inlineStr">
        <is>
          <t>Квас окрошечный Хлебный двор 1,5 л</t>
        </is>
      </c>
      <c r="C42" s="4" t="inlineStr">
        <is>
          <t>Хлебный двор</t>
        </is>
      </c>
      <c r="D42" s="4" t="inlineStr">
        <is>
          <t>Квас</t>
        </is>
      </c>
      <c r="E42" s="5" t="n">
        <v>2</v>
      </c>
      <c r="F42" s="6" t="n">
        <v>99</v>
      </c>
      <c r="G42" s="6" t="n">
        <v>79</v>
      </c>
      <c r="H42" s="6" t="n">
        <v>93.995</v>
      </c>
      <c r="I42" s="6" t="n">
        <v>108.99</v>
      </c>
      <c r="J42" s="7" t="n">
        <v>105.3</v>
      </c>
      <c r="K42" s="4" t="inlineStr">
        <is>
          <t>дороже рынка</t>
        </is>
      </c>
    </row>
    <row r="43">
      <c r="A43" s="4" t="inlineStr">
        <is>
          <t>SKU-0066</t>
        </is>
      </c>
      <c r="B43" s="4" t="inlineStr">
        <is>
          <t>Квас окрошечный Хлебный двор 1 л</t>
        </is>
      </c>
      <c r="C43" s="4" t="inlineStr">
        <is>
          <t>Хлебный двор</t>
        </is>
      </c>
      <c r="D43" s="4" t="inlineStr">
        <is>
          <t>Квас</t>
        </is>
      </c>
      <c r="E43" s="5" t="n">
        <v>3</v>
      </c>
      <c r="F43" s="6" t="n">
        <v>69</v>
      </c>
      <c r="G43" s="6" t="n">
        <v>68.90000000000001</v>
      </c>
      <c r="H43" s="6" t="n">
        <v>68.90000000000001</v>
      </c>
      <c r="I43" s="6" t="n">
        <v>79</v>
      </c>
      <c r="J43" s="7" t="n">
        <v>100.1</v>
      </c>
      <c r="K43" s="4" t="inlineStr">
        <is>
          <t>в рынке</t>
        </is>
      </c>
    </row>
    <row r="44">
      <c r="A44" s="4" t="inlineStr">
        <is>
          <t>SKU-0063</t>
        </is>
      </c>
      <c r="B44" s="4" t="inlineStr">
        <is>
          <t>Квас хлебный Хлебный двор 1 л</t>
        </is>
      </c>
      <c r="C44" s="4" t="inlineStr">
        <is>
          <t>Хлебный двор</t>
        </is>
      </c>
      <c r="D44" s="4" t="inlineStr">
        <is>
          <t>Квас</t>
        </is>
      </c>
      <c r="E44" s="5" t="n">
        <v>2</v>
      </c>
      <c r="F44" s="6" t="n">
        <v>69</v>
      </c>
      <c r="G44" s="6" t="n">
        <v>68.90000000000001</v>
      </c>
      <c r="H44" s="6" t="n">
        <v>68.95</v>
      </c>
      <c r="I44" s="6" t="n">
        <v>69</v>
      </c>
      <c r="J44" s="7" t="n">
        <v>100.1</v>
      </c>
      <c r="K44" s="4" t="inlineStr">
        <is>
          <t>в рынке</t>
        </is>
      </c>
    </row>
    <row r="45">
      <c r="A45" s="4" t="inlineStr">
        <is>
          <t>SKU-0065</t>
        </is>
      </c>
      <c r="B45" s="4" t="inlineStr">
        <is>
          <t>Квас хлебный Хлебный двор 2 л</t>
        </is>
      </c>
      <c r="C45" s="4" t="inlineStr">
        <is>
          <t>Хлебный двор</t>
        </is>
      </c>
      <c r="D45" s="4" t="inlineStr">
        <is>
          <t>Квас</t>
        </is>
      </c>
      <c r="E45" s="5" t="n">
        <v>3</v>
      </c>
      <c r="F45" s="6" t="n">
        <v>119</v>
      </c>
      <c r="G45" s="6" t="n">
        <v>118.99</v>
      </c>
      <c r="H45" s="6" t="n">
        <v>128.9</v>
      </c>
      <c r="I45" s="6" t="n">
        <v>129</v>
      </c>
      <c r="J45" s="7" t="n">
        <v>92.3</v>
      </c>
      <c r="K45" s="4" t="inlineStr">
        <is>
          <t>дешевле рынка</t>
        </is>
      </c>
    </row>
    <row r="46">
      <c r="A46" s="4" t="inlineStr">
        <is>
          <t>SKU-0068</t>
        </is>
      </c>
      <c r="B46" s="4" t="inlineStr">
        <is>
          <t>Квас окрошечный Хлебный двор 2 л</t>
        </is>
      </c>
      <c r="C46" s="4" t="inlineStr">
        <is>
          <t>Хлебный двор</t>
        </is>
      </c>
      <c r="D46" s="4" t="inlineStr">
        <is>
          <t>Квас</t>
        </is>
      </c>
      <c r="E46" s="5" t="n">
        <v>2</v>
      </c>
      <c r="F46" s="6" t="n">
        <v>119</v>
      </c>
      <c r="G46" s="6" t="n">
        <v>128.9</v>
      </c>
      <c r="H46" s="6" t="n">
        <v>128.95</v>
      </c>
      <c r="I46" s="6" t="n">
        <v>129</v>
      </c>
      <c r="J46" s="7" t="n">
        <v>92.3</v>
      </c>
      <c r="K46" s="4" t="inlineStr">
        <is>
          <t>дешевле рынка</t>
        </is>
      </c>
    </row>
    <row r="47">
      <c r="A47" s="4" t="inlineStr">
        <is>
          <t>SKU-0049</t>
        </is>
      </c>
      <c r="B47" s="4" t="inlineStr">
        <is>
          <t>Сок мультифрукт Фруктовый край 1 л</t>
        </is>
      </c>
      <c r="C47" s="4" t="inlineStr">
        <is>
          <t>Фруктовый край</t>
        </is>
      </c>
      <c r="D47" s="4" t="inlineStr">
        <is>
          <t>Соки и нектары</t>
        </is>
      </c>
      <c r="E47" s="5" t="n">
        <v>3</v>
      </c>
      <c r="F47" s="6" t="n">
        <v>119</v>
      </c>
      <c r="G47" s="6" t="n">
        <v>79</v>
      </c>
      <c r="H47" s="6" t="n">
        <v>88.98999999999999</v>
      </c>
      <c r="I47" s="6" t="n">
        <v>89</v>
      </c>
      <c r="J47" s="7" t="n">
        <v>133.7</v>
      </c>
      <c r="K47" s="4" t="inlineStr">
        <is>
          <t>дороже рынка</t>
        </is>
      </c>
    </row>
    <row r="48">
      <c r="A48" s="4" t="inlineStr">
        <is>
          <t>SKU-0042</t>
        </is>
      </c>
      <c r="B48" s="4" t="inlineStr">
        <is>
          <t>Сок апельсиновый Солнечный сад 1 л</t>
        </is>
      </c>
      <c r="C48" s="4" t="inlineStr">
        <is>
          <t>Солнечный сад</t>
        </is>
      </c>
      <c r="D48" s="4" t="inlineStr">
        <is>
          <t>Соки и нектары</t>
        </is>
      </c>
      <c r="E48" s="5" t="n">
        <v>2</v>
      </c>
      <c r="F48" s="6" t="n">
        <v>149</v>
      </c>
      <c r="G48" s="6" t="n">
        <v>138.9</v>
      </c>
      <c r="H48" s="6" t="n">
        <v>138.95</v>
      </c>
      <c r="I48" s="6" t="n">
        <v>139</v>
      </c>
      <c r="J48" s="7" t="n">
        <v>107.2</v>
      </c>
      <c r="K48" s="4" t="inlineStr">
        <is>
          <t>дороже рынка</t>
        </is>
      </c>
    </row>
    <row r="49">
      <c r="A49" s="4" t="inlineStr">
        <is>
          <t>SKU-0051</t>
        </is>
      </c>
      <c r="B49" s="4" t="inlineStr">
        <is>
          <t>Морс клюквенный Морс Север 0,5 л</t>
        </is>
      </c>
      <c r="C49" s="4" t="inlineStr">
        <is>
          <t>Морс Север</t>
        </is>
      </c>
      <c r="D49" s="4" t="inlineStr">
        <is>
          <t>Соки и нектары</t>
        </is>
      </c>
      <c r="E49" s="5" t="n">
        <v>2</v>
      </c>
      <c r="F49" s="6" t="n">
        <v>109</v>
      </c>
      <c r="G49" s="6" t="n">
        <v>99</v>
      </c>
      <c r="H49" s="6" t="n">
        <v>104</v>
      </c>
      <c r="I49" s="6" t="n">
        <v>109</v>
      </c>
      <c r="J49" s="7" t="n">
        <v>104.8</v>
      </c>
      <c r="K49" s="4" t="inlineStr">
        <is>
          <t>дороже рынка</t>
        </is>
      </c>
    </row>
    <row r="50">
      <c r="A50" s="4" t="inlineStr">
        <is>
          <t>SKU-0041</t>
        </is>
      </c>
      <c r="B50" s="4" t="inlineStr">
        <is>
          <t>Сок апельсиновый Солнечный сад 0,2 л</t>
        </is>
      </c>
      <c r="C50" s="4" t="inlineStr">
        <is>
          <t>Солнечный сад</t>
        </is>
      </c>
      <c r="D50" s="4" t="inlineStr">
        <is>
          <t>Соки и нектары</t>
        </is>
      </c>
      <c r="E50" s="5" t="n">
        <v>2</v>
      </c>
      <c r="F50" s="6" t="n">
        <v>39</v>
      </c>
      <c r="G50" s="6" t="n">
        <v>38.9</v>
      </c>
      <c r="H50" s="6" t="n">
        <v>38.95</v>
      </c>
      <c r="I50" s="6" t="n">
        <v>39</v>
      </c>
      <c r="J50" s="7" t="n">
        <v>100.1</v>
      </c>
      <c r="K50" s="4" t="inlineStr">
        <is>
          <t>в рынке</t>
        </is>
      </c>
    </row>
    <row r="51">
      <c r="A51" s="4" t="inlineStr">
        <is>
          <t>SKU-0053</t>
        </is>
      </c>
      <c r="B51" s="4" t="inlineStr">
        <is>
          <t>Морс брусничный Морс Север 0,5 л</t>
        </is>
      </c>
      <c r="C51" s="4" t="inlineStr">
        <is>
          <t>Морс Север</t>
        </is>
      </c>
      <c r="D51" s="4" t="inlineStr">
        <is>
          <t>Соки и нектары</t>
        </is>
      </c>
      <c r="E51" s="5" t="n">
        <v>2</v>
      </c>
      <c r="F51" s="6" t="n">
        <v>109</v>
      </c>
      <c r="G51" s="6" t="n">
        <v>108.9</v>
      </c>
      <c r="H51" s="6" t="n">
        <v>108.9</v>
      </c>
      <c r="I51" s="6" t="n">
        <v>108.9</v>
      </c>
      <c r="J51" s="7" t="n">
        <v>100.1</v>
      </c>
      <c r="K51" s="4" t="inlineStr">
        <is>
          <t>в рынке</t>
        </is>
      </c>
    </row>
    <row r="52">
      <c r="A52" s="4" t="inlineStr">
        <is>
          <t>SKU-0039</t>
        </is>
      </c>
      <c r="B52" s="4" t="inlineStr">
        <is>
          <t>Сок яблочный Солнечный сад 0,2 л</t>
        </is>
      </c>
      <c r="C52" s="4" t="inlineStr">
        <is>
          <t>Солнечный сад</t>
        </is>
      </c>
      <c r="D52" s="4" t="inlineStr">
        <is>
          <t>Соки и нектары</t>
        </is>
      </c>
      <c r="E52" s="5" t="n">
        <v>2</v>
      </c>
      <c r="F52" s="6" t="n">
        <v>39</v>
      </c>
      <c r="G52" s="6" t="n">
        <v>39</v>
      </c>
      <c r="H52" s="6" t="n">
        <v>39</v>
      </c>
      <c r="I52" s="6" t="n">
        <v>39</v>
      </c>
      <c r="J52" s="7" t="n">
        <v>100</v>
      </c>
      <c r="K52" s="4" t="inlineStr">
        <is>
          <t>в рынке</t>
        </is>
      </c>
    </row>
    <row r="53">
      <c r="A53" s="4" t="inlineStr">
        <is>
          <t>SKU-0043</t>
        </is>
      </c>
      <c r="B53" s="4" t="inlineStr">
        <is>
          <t>Нектар вишневый Солнечный сад 0,2 л</t>
        </is>
      </c>
      <c r="C53" s="4" t="inlineStr">
        <is>
          <t>Солнечный сад</t>
        </is>
      </c>
      <c r="D53" s="4" t="inlineStr">
        <is>
          <t>Соки и нектары</t>
        </is>
      </c>
      <c r="E53" s="5" t="n">
        <v>3</v>
      </c>
      <c r="F53" s="6" t="n">
        <v>39</v>
      </c>
      <c r="G53" s="6" t="n">
        <v>38.9</v>
      </c>
      <c r="H53" s="6" t="n">
        <v>39</v>
      </c>
      <c r="I53" s="6" t="n">
        <v>39</v>
      </c>
      <c r="J53" s="7" t="n">
        <v>100</v>
      </c>
      <c r="K53" s="4" t="inlineStr">
        <is>
          <t>в рынке</t>
        </is>
      </c>
    </row>
    <row r="54">
      <c r="A54" s="4" t="inlineStr">
        <is>
          <t>SKU-0050</t>
        </is>
      </c>
      <c r="B54" s="4" t="inlineStr">
        <is>
          <t>Сок мультифрукт Фруктовый край 2 л</t>
        </is>
      </c>
      <c r="C54" s="4" t="inlineStr">
        <is>
          <t>Фруктовый край</t>
        </is>
      </c>
      <c r="D54" s="4" t="inlineStr">
        <is>
          <t>Соки и нектары</t>
        </is>
      </c>
      <c r="E54" s="5" t="n">
        <v>3</v>
      </c>
      <c r="F54" s="6" t="n">
        <v>229</v>
      </c>
      <c r="G54" s="6" t="n">
        <v>228.9</v>
      </c>
      <c r="H54" s="6" t="n">
        <v>228.9</v>
      </c>
      <c r="I54" s="6" t="n">
        <v>239</v>
      </c>
      <c r="J54" s="7" t="n">
        <v>100</v>
      </c>
      <c r="K54" s="4" t="inlineStr">
        <is>
          <t>в рынке</t>
        </is>
      </c>
    </row>
    <row r="55">
      <c r="A55" s="4" t="inlineStr">
        <is>
          <t>SKU-0044</t>
        </is>
      </c>
      <c r="B55" s="4" t="inlineStr">
        <is>
          <t>Нектар вишневый Солнечный сад 1 л</t>
        </is>
      </c>
      <c r="C55" s="4" t="inlineStr">
        <is>
          <t>Солнечный сад</t>
        </is>
      </c>
      <c r="D55" s="4" t="inlineStr">
        <is>
          <t>Соки и нектары</t>
        </is>
      </c>
      <c r="E55" s="5" t="n">
        <v>1</v>
      </c>
      <c r="F55" s="6" t="n">
        <v>159</v>
      </c>
      <c r="G55" s="6" t="n">
        <v>159</v>
      </c>
      <c r="H55" s="6" t="n">
        <v>159</v>
      </c>
      <c r="I55" s="6" t="n">
        <v>159</v>
      </c>
      <c r="J55" s="7" t="n">
        <v>100</v>
      </c>
      <c r="K55" s="4" t="inlineStr">
        <is>
          <t>в рынке</t>
        </is>
      </c>
    </row>
    <row r="56">
      <c r="A56" s="4" t="inlineStr">
        <is>
          <t>SKU-0046</t>
        </is>
      </c>
      <c r="B56" s="4" t="inlineStr">
        <is>
          <t>Нектар персиковый Солнечный сад 1 л</t>
        </is>
      </c>
      <c r="C56" s="4" t="inlineStr">
        <is>
          <t>Солнечный сад</t>
        </is>
      </c>
      <c r="D56" s="4" t="inlineStr">
        <is>
          <t>Соки и нектары</t>
        </is>
      </c>
      <c r="E56" s="5" t="n">
        <v>3</v>
      </c>
      <c r="F56" s="6" t="n">
        <v>139</v>
      </c>
      <c r="G56" s="6" t="n">
        <v>138.9</v>
      </c>
      <c r="H56" s="6" t="n">
        <v>139</v>
      </c>
      <c r="I56" s="6" t="n">
        <v>139</v>
      </c>
      <c r="J56" s="7" t="n">
        <v>100</v>
      </c>
      <c r="K56" s="4" t="inlineStr">
        <is>
          <t>в рынке</t>
        </is>
      </c>
    </row>
    <row r="57">
      <c r="A57" s="4" t="inlineStr">
        <is>
          <t>SKU-0048</t>
        </is>
      </c>
      <c r="B57" s="4" t="inlineStr">
        <is>
          <t>Сок томатный Фруктовый край 2 л</t>
        </is>
      </c>
      <c r="C57" s="4" t="inlineStr">
        <is>
          <t>Фруктовый край</t>
        </is>
      </c>
      <c r="D57" s="4" t="inlineStr">
        <is>
          <t>Соки и нектары</t>
        </is>
      </c>
      <c r="E57" s="5" t="n">
        <v>3</v>
      </c>
      <c r="F57" s="6" t="n">
        <v>229</v>
      </c>
      <c r="G57" s="6" t="n">
        <v>218.99</v>
      </c>
      <c r="H57" s="6" t="n">
        <v>228.9</v>
      </c>
      <c r="I57" s="6" t="n">
        <v>239</v>
      </c>
      <c r="J57" s="7" t="n">
        <v>100</v>
      </c>
      <c r="K57" s="4" t="inlineStr">
        <is>
          <t>в рынке</t>
        </is>
      </c>
    </row>
    <row r="58">
      <c r="A58" s="4" t="inlineStr">
        <is>
          <t>SKU-0052</t>
        </is>
      </c>
      <c r="B58" s="4" t="inlineStr">
        <is>
          <t>Морс клюквенный Морс Север 1 л</t>
        </is>
      </c>
      <c r="C58" s="4" t="inlineStr">
        <is>
          <t>Морс Север</t>
        </is>
      </c>
      <c r="D58" s="4" t="inlineStr">
        <is>
          <t>Соки и нектары</t>
        </is>
      </c>
      <c r="E58" s="5" t="n">
        <v>2</v>
      </c>
      <c r="F58" s="6" t="n">
        <v>179</v>
      </c>
      <c r="G58" s="6" t="n">
        <v>179</v>
      </c>
      <c r="H58" s="6" t="n">
        <v>189</v>
      </c>
      <c r="I58" s="6" t="n">
        <v>199</v>
      </c>
      <c r="J58" s="7" t="n">
        <v>94.7</v>
      </c>
      <c r="K58" s="4" t="inlineStr">
        <is>
          <t>дешевле рынка</t>
        </is>
      </c>
    </row>
    <row r="59">
      <c r="A59" s="4" t="inlineStr">
        <is>
          <t>SKU-0047</t>
        </is>
      </c>
      <c r="B59" s="4" t="inlineStr">
        <is>
          <t>Сок томатный Фруктовый край 1 л</t>
        </is>
      </c>
      <c r="C59" s="4" t="inlineStr">
        <is>
          <t>Фруктовый край</t>
        </is>
      </c>
      <c r="D59" s="4" t="inlineStr">
        <is>
          <t>Соки и нектары</t>
        </is>
      </c>
      <c r="E59" s="5" t="n">
        <v>3</v>
      </c>
      <c r="F59" s="6" t="n">
        <v>129</v>
      </c>
      <c r="G59" s="6" t="n">
        <v>129</v>
      </c>
      <c r="H59" s="6" t="n">
        <v>138.99</v>
      </c>
      <c r="I59" s="6" t="n">
        <v>139</v>
      </c>
      <c r="J59" s="7" t="n">
        <v>92.8</v>
      </c>
      <c r="K59" s="4" t="inlineStr">
        <is>
          <t>дешевле рынка</t>
        </is>
      </c>
    </row>
    <row r="60">
      <c r="A60" s="4" t="inlineStr">
        <is>
          <t>SKU-0040</t>
        </is>
      </c>
      <c r="B60" s="4" t="inlineStr">
        <is>
          <t>Сок яблочный Солнечный сад 1 л</t>
        </is>
      </c>
      <c r="C60" s="4" t="inlineStr">
        <is>
          <t>Солнечный сад</t>
        </is>
      </c>
      <c r="D60" s="4" t="inlineStr">
        <is>
          <t>Соки и нектары</t>
        </is>
      </c>
      <c r="E60" s="5" t="n">
        <v>2</v>
      </c>
      <c r="F60" s="6" t="n">
        <v>159</v>
      </c>
      <c r="G60" s="6" t="n">
        <v>169</v>
      </c>
      <c r="H60" s="6" t="n">
        <v>174</v>
      </c>
      <c r="I60" s="6" t="n">
        <v>179</v>
      </c>
      <c r="J60" s="7" t="n">
        <v>91.40000000000001</v>
      </c>
      <c r="K60" s="4" t="inlineStr">
        <is>
          <t>дешевле рынка</t>
        </is>
      </c>
    </row>
    <row r="61">
      <c r="A61" s="4" t="inlineStr">
        <is>
          <t>SKU-0054</t>
        </is>
      </c>
      <c r="B61" s="4" t="inlineStr">
        <is>
          <t>Морс брусничный Морс Север 1 л</t>
        </is>
      </c>
      <c r="C61" s="4" t="inlineStr">
        <is>
          <t>Морс Север</t>
        </is>
      </c>
      <c r="D61" s="4" t="inlineStr">
        <is>
          <t>Соки и нектары</t>
        </is>
      </c>
      <c r="E61" s="5" t="n">
        <v>3</v>
      </c>
      <c r="F61" s="6" t="n">
        <v>169</v>
      </c>
      <c r="G61" s="6" t="n">
        <v>198.9</v>
      </c>
      <c r="H61" s="6" t="n">
        <v>199</v>
      </c>
      <c r="I61" s="6" t="n">
        <v>209</v>
      </c>
      <c r="J61" s="7" t="n">
        <v>84.90000000000001</v>
      </c>
      <c r="K61" s="4" t="inlineStr">
        <is>
          <t>дешевле рынка</t>
        </is>
      </c>
    </row>
    <row r="62">
      <c r="A62" s="4" t="inlineStr">
        <is>
          <t>SKU-0045</t>
        </is>
      </c>
      <c r="B62" s="4" t="inlineStr">
        <is>
          <t>Нектар персиковый Солнечный сад 0,2 л</t>
        </is>
      </c>
      <c r="C62" s="4" t="inlineStr">
        <is>
          <t>Солнечный сад</t>
        </is>
      </c>
      <c r="D62" s="4" t="inlineStr">
        <is>
          <t>Соки и нектары</t>
        </is>
      </c>
      <c r="E62" s="5" t="n">
        <v>2</v>
      </c>
      <c r="F62" s="6" t="n">
        <v>39</v>
      </c>
      <c r="G62" s="6" t="n">
        <v>49</v>
      </c>
      <c r="H62" s="6" t="n">
        <v>49</v>
      </c>
      <c r="I62" s="6" t="n">
        <v>49</v>
      </c>
      <c r="J62" s="7" t="n">
        <v>79.59999999999999</v>
      </c>
      <c r="K62" s="4" t="inlineStr">
        <is>
          <t>дешевле рынка</t>
        </is>
      </c>
    </row>
    <row r="63">
      <c r="A63" s="4" t="inlineStr">
        <is>
          <t>SKU-0062</t>
        </is>
      </c>
      <c r="B63" s="4" t="inlineStr">
        <is>
          <t>Чай малина Чайная долина 1 л</t>
        </is>
      </c>
      <c r="C63" s="4" t="inlineStr">
        <is>
          <t>Чайная долина</t>
        </is>
      </c>
      <c r="D63" s="4" t="inlineStr">
        <is>
          <t>Холодный чай</t>
        </is>
      </c>
      <c r="E63" s="5" t="n">
        <v>3</v>
      </c>
      <c r="F63" s="6" t="n">
        <v>89</v>
      </c>
      <c r="G63" s="6" t="n">
        <v>69</v>
      </c>
      <c r="H63" s="6" t="n">
        <v>69</v>
      </c>
      <c r="I63" s="6" t="n">
        <v>78.90000000000001</v>
      </c>
      <c r="J63" s="7" t="n">
        <v>129</v>
      </c>
      <c r="K63" s="4" t="inlineStr">
        <is>
          <t>дороже рынка</t>
        </is>
      </c>
    </row>
    <row r="64">
      <c r="A64" s="4" t="inlineStr">
        <is>
          <t>SKU-0055</t>
        </is>
      </c>
      <c r="B64" s="4" t="inlineStr">
        <is>
          <t>Чай черный лимон Чайная долина 0,5 л</t>
        </is>
      </c>
      <c r="C64" s="4" t="inlineStr">
        <is>
          <t>Чайная долина</t>
        </is>
      </c>
      <c r="D64" s="4" t="inlineStr">
        <is>
          <t>Холодный чай</t>
        </is>
      </c>
      <c r="E64" s="5" t="n">
        <v>3</v>
      </c>
      <c r="F64" s="6" t="n">
        <v>49</v>
      </c>
      <c r="G64" s="6" t="n">
        <v>39</v>
      </c>
      <c r="H64" s="6" t="n">
        <v>39</v>
      </c>
      <c r="I64" s="6" t="n">
        <v>39</v>
      </c>
      <c r="J64" s="7" t="n">
        <v>125.6</v>
      </c>
      <c r="K64" s="4" t="inlineStr">
        <is>
          <t>дороже рынка</t>
        </is>
      </c>
    </row>
    <row r="65">
      <c r="A65" s="4" t="inlineStr">
        <is>
          <t>SKU-0059</t>
        </is>
      </c>
      <c r="B65" s="4" t="inlineStr">
        <is>
          <t>Чай персик Чайная долина 0,5 л</t>
        </is>
      </c>
      <c r="C65" s="4" t="inlineStr">
        <is>
          <t>Чайная долина</t>
        </is>
      </c>
      <c r="D65" s="4" t="inlineStr">
        <is>
          <t>Холодный чай</t>
        </is>
      </c>
      <c r="E65" s="5" t="n">
        <v>2</v>
      </c>
      <c r="F65" s="6" t="n">
        <v>59</v>
      </c>
      <c r="G65" s="6" t="n">
        <v>58.9</v>
      </c>
      <c r="H65" s="6" t="n">
        <v>58.95</v>
      </c>
      <c r="I65" s="6" t="n">
        <v>59</v>
      </c>
      <c r="J65" s="7" t="n">
        <v>100.1</v>
      </c>
      <c r="K65" s="4" t="inlineStr">
        <is>
          <t>в рынке</t>
        </is>
      </c>
    </row>
    <row r="66">
      <c r="A66" s="4" t="inlineStr">
        <is>
          <t>SKU-0061</t>
        </is>
      </c>
      <c r="B66" s="4" t="inlineStr">
        <is>
          <t>Чай малина Чайная долина 0,5 л</t>
        </is>
      </c>
      <c r="C66" s="4" t="inlineStr">
        <is>
          <t>Чайная долина</t>
        </is>
      </c>
      <c r="D66" s="4" t="inlineStr">
        <is>
          <t>Холодный чай</t>
        </is>
      </c>
      <c r="E66" s="5" t="n">
        <v>3</v>
      </c>
      <c r="F66" s="6" t="n">
        <v>59</v>
      </c>
      <c r="G66" s="6" t="n">
        <v>58.9</v>
      </c>
      <c r="H66" s="6" t="n">
        <v>58.99</v>
      </c>
      <c r="I66" s="6" t="n">
        <v>59</v>
      </c>
      <c r="J66" s="7" t="n">
        <v>100</v>
      </c>
      <c r="K66" s="4" t="inlineStr">
        <is>
          <t>в рынке</t>
        </is>
      </c>
    </row>
    <row r="67">
      <c r="A67" s="4" t="inlineStr">
        <is>
          <t>SKU-0057</t>
        </is>
      </c>
      <c r="B67" s="4" t="inlineStr">
        <is>
          <t>Чай зеленый Чайная долина 0,5 л</t>
        </is>
      </c>
      <c r="C67" s="4" t="inlineStr">
        <is>
          <t>Чайная долина</t>
        </is>
      </c>
      <c r="D67" s="4" t="inlineStr">
        <is>
          <t>Холодный чай</t>
        </is>
      </c>
      <c r="E67" s="5" t="n">
        <v>2</v>
      </c>
      <c r="F67" s="6" t="n">
        <v>49</v>
      </c>
      <c r="G67" s="6" t="n">
        <v>49</v>
      </c>
      <c r="H67" s="6" t="n">
        <v>49</v>
      </c>
      <c r="I67" s="6" t="n">
        <v>49</v>
      </c>
      <c r="J67" s="7" t="n">
        <v>100</v>
      </c>
      <c r="K67" s="4" t="inlineStr">
        <is>
          <t>в рынке</t>
        </is>
      </c>
    </row>
    <row r="68">
      <c r="A68" s="4" t="inlineStr">
        <is>
          <t>SKU-0060</t>
        </is>
      </c>
      <c r="B68" s="4" t="inlineStr">
        <is>
          <t>Чай персик Чайная долина 1 л</t>
        </is>
      </c>
      <c r="C68" s="4" t="inlineStr">
        <is>
          <t>Чайная долина</t>
        </is>
      </c>
      <c r="D68" s="4" t="inlineStr">
        <is>
          <t>Холодный чай</t>
        </is>
      </c>
      <c r="E68" s="5" t="n">
        <v>2</v>
      </c>
      <c r="F68" s="6" t="n">
        <v>99</v>
      </c>
      <c r="G68" s="6" t="n">
        <v>108.99</v>
      </c>
      <c r="H68" s="6" t="n">
        <v>113.995</v>
      </c>
      <c r="I68" s="6" t="n">
        <v>119</v>
      </c>
      <c r="J68" s="7" t="n">
        <v>86.8</v>
      </c>
      <c r="K68" s="4" t="inlineStr">
        <is>
          <t>дешевле рынка</t>
        </is>
      </c>
    </row>
    <row r="69">
      <c r="A69" s="4" t="inlineStr">
        <is>
          <t>SKU-0058</t>
        </is>
      </c>
      <c r="B69" s="4" t="inlineStr">
        <is>
          <t>Чай зеленый Чайная долина 1 л</t>
        </is>
      </c>
      <c r="C69" s="4" t="inlineStr">
        <is>
          <t>Чайная долина</t>
        </is>
      </c>
      <c r="D69" s="4" t="inlineStr">
        <is>
          <t>Холодный чай</t>
        </is>
      </c>
      <c r="E69" s="5" t="n">
        <v>3</v>
      </c>
      <c r="F69" s="6" t="n">
        <v>89</v>
      </c>
      <c r="G69" s="6" t="n">
        <v>109</v>
      </c>
      <c r="H69" s="6" t="n">
        <v>109</v>
      </c>
      <c r="I69" s="6" t="n">
        <v>119</v>
      </c>
      <c r="J69" s="7" t="n">
        <v>81.7</v>
      </c>
      <c r="K69" s="4" t="inlineStr">
        <is>
          <t>дешевле рынка</t>
        </is>
      </c>
    </row>
    <row r="70">
      <c r="A70" s="4" t="inlineStr">
        <is>
          <t>SKU-0056</t>
        </is>
      </c>
      <c r="B70" s="4" t="inlineStr">
        <is>
          <t>Чай черный лимон Чайная долина 1 л</t>
        </is>
      </c>
      <c r="C70" s="4" t="inlineStr">
        <is>
          <t>Чайная долина</t>
        </is>
      </c>
      <c r="D70" s="4" t="inlineStr">
        <is>
          <t>Холодный чай</t>
        </is>
      </c>
      <c r="E70" s="5" t="n">
        <v>1</v>
      </c>
      <c r="F70" s="6" t="n">
        <v>89</v>
      </c>
      <c r="G70" s="6" t="n">
        <v>109</v>
      </c>
      <c r="H70" s="6" t="n">
        <v>109</v>
      </c>
      <c r="I70" s="6" t="n">
        <v>109</v>
      </c>
      <c r="J70" s="7" t="n">
        <v>81.7</v>
      </c>
      <c r="K70" s="4" t="inlineStr">
        <is>
          <t>дешевле рынка</t>
        </is>
      </c>
    </row>
    <row r="71">
      <c r="A71" s="4" t="inlineStr">
        <is>
          <t>SKU-0072</t>
        </is>
      </c>
      <c r="B71" s="4" t="inlineStr">
        <is>
          <t>Энергетик без сахара Энерджи Макс 0,45 л</t>
        </is>
      </c>
      <c r="C71" s="4" t="inlineStr">
        <is>
          <t>Энерджи Макс</t>
        </is>
      </c>
      <c r="D71" s="4" t="inlineStr">
        <is>
          <t>Энергетики</t>
        </is>
      </c>
      <c r="E71" s="5" t="n">
        <v>3</v>
      </c>
      <c r="F71" s="6" t="n">
        <v>209</v>
      </c>
      <c r="G71" s="6" t="n">
        <v>199</v>
      </c>
      <c r="H71" s="6" t="n">
        <v>199</v>
      </c>
      <c r="I71" s="6" t="n">
        <v>219</v>
      </c>
      <c r="J71" s="7" t="n">
        <v>105</v>
      </c>
      <c r="K71" s="4" t="inlineStr">
        <is>
          <t>дороже рынка</t>
        </is>
      </c>
    </row>
    <row r="72">
      <c r="A72" s="4" t="inlineStr">
        <is>
          <t>SKU-0070</t>
        </is>
      </c>
      <c r="B72" s="4" t="inlineStr">
        <is>
          <t>Энергетик оригинальный Энерджи Макс 0,45 л</t>
        </is>
      </c>
      <c r="C72" s="4" t="inlineStr">
        <is>
          <t>Энерджи Макс</t>
        </is>
      </c>
      <c r="D72" s="4" t="inlineStr">
        <is>
          <t>Энергетики</t>
        </is>
      </c>
      <c r="E72" s="5" t="n">
        <v>3</v>
      </c>
      <c r="F72" s="6" t="n">
        <v>179</v>
      </c>
      <c r="G72" s="6" t="n">
        <v>139</v>
      </c>
      <c r="H72" s="6" t="n">
        <v>178.9</v>
      </c>
      <c r="I72" s="6" t="n">
        <v>179</v>
      </c>
      <c r="J72" s="7" t="n">
        <v>100.1</v>
      </c>
      <c r="K72" s="4" t="inlineStr">
        <is>
          <t>в рынке</t>
        </is>
      </c>
    </row>
    <row r="73">
      <c r="A73" s="4" t="inlineStr">
        <is>
          <t>SKU-0069</t>
        </is>
      </c>
      <c r="B73" s="4" t="inlineStr">
        <is>
          <t>Энергетик оригинальный Энерджи Макс 0,25 л</t>
        </is>
      </c>
      <c r="C73" s="4" t="inlineStr">
        <is>
          <t>Энерджи Макс</t>
        </is>
      </c>
      <c r="D73" s="4" t="inlineStr">
        <is>
          <t>Энергетики</t>
        </is>
      </c>
      <c r="E73" s="5" t="n">
        <v>1</v>
      </c>
      <c r="F73" s="6" t="n">
        <v>129</v>
      </c>
      <c r="G73" s="6" t="n">
        <v>129</v>
      </c>
      <c r="H73" s="6" t="n">
        <v>129</v>
      </c>
      <c r="I73" s="6" t="n">
        <v>129</v>
      </c>
      <c r="J73" s="7" t="n">
        <v>100</v>
      </c>
      <c r="K73" s="4" t="inlineStr">
        <is>
          <t>в рынке</t>
        </is>
      </c>
    </row>
    <row r="74">
      <c r="A74" s="4" t="inlineStr">
        <is>
          <t>SKU-0074</t>
        </is>
      </c>
      <c r="B74" s="4" t="inlineStr">
        <is>
          <t>Энергетик манго Энерджи Макс 0,45 л</t>
        </is>
      </c>
      <c r="C74" s="4" t="inlineStr">
        <is>
          <t>Энерджи Макс</t>
        </is>
      </c>
      <c r="D74" s="4" t="inlineStr">
        <is>
          <t>Энергетики</t>
        </is>
      </c>
      <c r="E74" s="5" t="n">
        <v>3</v>
      </c>
      <c r="F74" s="6" t="n">
        <v>179</v>
      </c>
      <c r="G74" s="6" t="n">
        <v>179</v>
      </c>
      <c r="H74" s="6" t="n">
        <v>179</v>
      </c>
      <c r="I74" s="6" t="n">
        <v>188.9</v>
      </c>
      <c r="J74" s="7" t="n">
        <v>100</v>
      </c>
      <c r="K74" s="4" t="inlineStr">
        <is>
          <t>в рынке</t>
        </is>
      </c>
    </row>
    <row r="75">
      <c r="A75" s="4" t="inlineStr">
        <is>
          <t>SKU-0075</t>
        </is>
      </c>
      <c r="B75" s="4" t="inlineStr">
        <is>
          <t>Энергетик классический Бодрость 0,45 л</t>
        </is>
      </c>
      <c r="C75" s="4" t="inlineStr">
        <is>
          <t>Бодрость</t>
        </is>
      </c>
      <c r="D75" s="4" t="inlineStr">
        <is>
          <t>Энергетики</t>
        </is>
      </c>
      <c r="E75" s="5" t="n">
        <v>3</v>
      </c>
      <c r="F75" s="6" t="n">
        <v>149</v>
      </c>
      <c r="G75" s="6" t="n">
        <v>138.9</v>
      </c>
      <c r="H75" s="6" t="n">
        <v>149</v>
      </c>
      <c r="I75" s="6" t="n">
        <v>149</v>
      </c>
      <c r="J75" s="7" t="n">
        <v>100</v>
      </c>
      <c r="K75" s="4" t="inlineStr">
        <is>
          <t>в рынке</t>
        </is>
      </c>
    </row>
    <row r="76">
      <c r="A76" s="4" t="inlineStr">
        <is>
          <t>SKU-0071</t>
        </is>
      </c>
      <c r="B76" s="4" t="inlineStr">
        <is>
          <t>Энергетик без сахара Энерджи Макс 0,25 л</t>
        </is>
      </c>
      <c r="C76" s="4" t="inlineStr">
        <is>
          <t>Энерджи Макс</t>
        </is>
      </c>
      <c r="D76" s="4" t="inlineStr">
        <is>
          <t>Энергетики</t>
        </is>
      </c>
      <c r="E76" s="5" t="n">
        <v>3</v>
      </c>
      <c r="F76" s="6" t="n">
        <v>109</v>
      </c>
      <c r="G76" s="6" t="n">
        <v>118.99</v>
      </c>
      <c r="H76" s="6" t="n">
        <v>119</v>
      </c>
      <c r="I76" s="6" t="n">
        <v>119</v>
      </c>
      <c r="J76" s="7" t="n">
        <v>91.59999999999999</v>
      </c>
      <c r="K76" s="4" t="inlineStr">
        <is>
          <t>дешевле рынка</t>
        </is>
      </c>
    </row>
    <row r="77">
      <c r="A77" s="4" t="inlineStr">
        <is>
          <t>SKU-0073</t>
        </is>
      </c>
      <c r="B77" s="4" t="inlineStr">
        <is>
          <t>Энергетик манго Энерджи Макс 0,25 л</t>
        </is>
      </c>
      <c r="C77" s="4" t="inlineStr">
        <is>
          <t>Энерджи Макс</t>
        </is>
      </c>
      <c r="D77" s="4" t="inlineStr">
        <is>
          <t>Энергетики</t>
        </is>
      </c>
      <c r="E77" s="5" t="n">
        <v>2</v>
      </c>
      <c r="F77" s="6" t="n">
        <v>109</v>
      </c>
      <c r="G77" s="6" t="n">
        <v>119</v>
      </c>
      <c r="H77" s="6" t="n">
        <v>119</v>
      </c>
      <c r="I77" s="6" t="n">
        <v>119</v>
      </c>
      <c r="J77" s="7" t="n">
        <v>91.59999999999999</v>
      </c>
      <c r="K77" s="4" t="inlineStr">
        <is>
          <t>дешевле рынка</t>
        </is>
      </c>
    </row>
    <row r="78">
      <c r="A78" s="4" t="inlineStr">
        <is>
          <t>SKU-0076</t>
        </is>
      </c>
      <c r="B78" s="4" t="inlineStr">
        <is>
          <t>Энергетик ягодный Бодрость 0,45 л</t>
        </is>
      </c>
      <c r="C78" s="4" t="inlineStr">
        <is>
          <t>Бодрость</t>
        </is>
      </c>
      <c r="D78" s="4" t="inlineStr">
        <is>
          <t>Энергетики</t>
        </is>
      </c>
      <c r="E78" s="5" t="n">
        <v>2</v>
      </c>
      <c r="F78" s="6" t="n">
        <v>179</v>
      </c>
      <c r="G78" s="6" t="n">
        <v>209</v>
      </c>
      <c r="H78" s="6" t="n">
        <v>214</v>
      </c>
      <c r="I78" s="6" t="n">
        <v>219</v>
      </c>
      <c r="J78" s="7" t="n">
        <v>83.59999999999999</v>
      </c>
      <c r="K78" s="4" t="inlineStr">
        <is>
          <t>дешевле рынка</t>
        </is>
      </c>
    </row>
  </sheetData>
  <autoFilter ref="A2:K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8" customWidth="1" min="3" max="3"/>
    <col width="15" customWidth="1" min="4" max="4"/>
    <col width="9" customWidth="1" min="5" max="5"/>
    <col width="14" customWidth="1" min="6" max="6"/>
  </cols>
  <sheetData>
    <row r="1">
      <c r="A1" s="1" t="inlineStr">
        <is>
          <t>Итого</t>
        </is>
      </c>
      <c r="B1" s="10">
        <f>SUBTOTAL(109,B3:B8)</f>
        <v/>
      </c>
      <c r="C1" s="2">
        <f>SUBTOTAL(101,C3:C8)</f>
        <v/>
      </c>
      <c r="D1" s="3">
        <f>SUBTOTAL(101,D3:D8)</f>
        <v/>
      </c>
      <c r="E1" s="3">
        <f>SUBTOTAL(101,E3:E8)</f>
        <v/>
      </c>
      <c r="F1" s="3">
        <f>SUBTOTAL(101,F3:F8)</f>
        <v/>
      </c>
    </row>
    <row r="2">
      <c r="A2" s="1" t="inlineStr">
        <is>
          <t>Категория</t>
        </is>
      </c>
      <c r="B2" s="1" t="inlineStr">
        <is>
          <t>SKU</t>
        </is>
      </c>
      <c r="C2" s="1" t="inlineStr">
        <is>
          <t>Медианный индекс</t>
        </is>
      </c>
      <c r="D2" s="1" t="inlineStr">
        <is>
          <t>Дешевле рынка</t>
        </is>
      </c>
      <c r="E2" s="1" t="inlineStr">
        <is>
          <t>В рынке</t>
        </is>
      </c>
      <c r="F2" s="1" t="inlineStr">
        <is>
          <t>Дороже рынка</t>
        </is>
      </c>
    </row>
    <row r="3">
      <c r="A3" s="4" t="inlineStr">
        <is>
          <t>Квас</t>
        </is>
      </c>
      <c r="B3" s="5" t="n">
        <v>6</v>
      </c>
      <c r="C3" s="7" t="n">
        <v>100.1</v>
      </c>
      <c r="D3" s="8" t="n">
        <v>0.333</v>
      </c>
      <c r="E3" s="8" t="n">
        <v>0.333</v>
      </c>
      <c r="F3" s="8" t="n">
        <v>0.333</v>
      </c>
    </row>
    <row r="4">
      <c r="A4" s="4" t="inlineStr">
        <is>
          <t>Соки и нектары</t>
        </is>
      </c>
      <c r="B4" s="5" t="n">
        <v>16</v>
      </c>
      <c r="C4" s="7" t="n">
        <v>100</v>
      </c>
      <c r="D4" s="8" t="n">
        <v>0.313</v>
      </c>
      <c r="E4" s="8" t="n">
        <v>0.5</v>
      </c>
      <c r="F4" s="8" t="n">
        <v>0.188</v>
      </c>
    </row>
    <row r="5">
      <c r="A5" s="4" t="inlineStr">
        <is>
          <t>Газированные напитки</t>
        </is>
      </c>
      <c r="B5" s="5" t="n">
        <v>28</v>
      </c>
      <c r="C5" s="7" t="n">
        <v>100</v>
      </c>
      <c r="D5" s="8" t="n">
        <v>0.357</v>
      </c>
      <c r="E5" s="8" t="n">
        <v>0.536</v>
      </c>
      <c r="F5" s="8" t="n">
        <v>0.107</v>
      </c>
    </row>
    <row r="6">
      <c r="A6" s="4" t="inlineStr">
        <is>
          <t>Холодный чай</t>
        </is>
      </c>
      <c r="B6" s="5" t="n">
        <v>8</v>
      </c>
      <c r="C6" s="7" t="n">
        <v>100</v>
      </c>
      <c r="D6" s="8" t="n">
        <v>0.375</v>
      </c>
      <c r="E6" s="8" t="n">
        <v>0.375</v>
      </c>
      <c r="F6" s="8" t="n">
        <v>0.25</v>
      </c>
    </row>
    <row r="7">
      <c r="A7" s="4" t="inlineStr">
        <is>
          <t>Энергетики</t>
        </is>
      </c>
      <c r="B7" s="5" t="n">
        <v>8</v>
      </c>
      <c r="C7" s="7" t="n">
        <v>100</v>
      </c>
      <c r="D7" s="8" t="n">
        <v>0.375</v>
      </c>
      <c r="E7" s="8" t="n">
        <v>0.5</v>
      </c>
      <c r="F7" s="8" t="n">
        <v>0.125</v>
      </c>
    </row>
    <row r="8">
      <c r="A8" s="4" t="inlineStr">
        <is>
          <t>Вода</t>
        </is>
      </c>
      <c r="B8" s="5" t="n">
        <v>10</v>
      </c>
      <c r="C8" s="7" t="n">
        <v>98.2</v>
      </c>
      <c r="D8" s="8" t="n">
        <v>0.5</v>
      </c>
      <c r="E8" s="8" t="n">
        <v>0.5</v>
      </c>
      <c r="F8" s="8" t="n">
        <v>0</v>
      </c>
    </row>
  </sheetData>
  <autoFilter ref="A2:F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1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Итого (прогон 0.5 с)</t>
        </is>
      </c>
      <c r="B1" s="10">
        <f>SUBTOTAL(109,B3:B5)</f>
        <v/>
      </c>
      <c r="C1" s="10">
        <f>SUBTOTAL(109,C3:C5)</f>
        <v/>
      </c>
      <c r="D1" s="10">
        <f>SUBTOTAL(109,D3:D5)</f>
        <v/>
      </c>
      <c r="E1" s="10">
        <f>SUBTOTAL(109,E3:E5)</f>
        <v/>
      </c>
      <c r="F1" s="10">
        <f>SUBTOTAL(109,F3:F5)</f>
        <v/>
      </c>
      <c r="G1" s="10">
        <f>SUBTOTAL(109,G3:G5)</f>
        <v/>
      </c>
      <c r="H1" s="10">
        <f>SUBTOTAL(109,H3:H5)</f>
        <v/>
      </c>
      <c r="I1" s="11">
        <f>SUBTOTAL(109,I3:I5)</f>
        <v/>
      </c>
    </row>
    <row r="2">
      <c r="A2" s="1" t="inlineStr">
        <is>
          <t>Источник</t>
        </is>
      </c>
      <c r="B2" s="1" t="inlineStr">
        <is>
          <t>Получено</t>
        </is>
      </c>
      <c r="C2" s="1" t="inlineStr">
        <is>
          <t>Дублей</t>
        </is>
      </c>
      <c r="D2" s="1" t="inlineStr">
        <is>
          <t>Отклонено</t>
        </is>
      </c>
      <c r="E2" s="1" t="inlineStr">
        <is>
          <t>Валидных</t>
        </is>
      </c>
      <c r="F2" s="1" t="inlineStr">
        <is>
          <t>Сопоставлено</t>
        </is>
      </c>
      <c r="G2" s="1" t="inlineStr">
        <is>
          <t>Запросов</t>
        </is>
      </c>
      <c r="H2" s="1" t="inlineStr">
        <is>
          <t>Повторов</t>
        </is>
      </c>
      <c r="I2" s="1" t="inlineStr">
        <is>
          <t>Время, с</t>
        </is>
      </c>
    </row>
    <row r="3">
      <c r="A3" s="4" t="inlineStr">
        <is>
          <t>market_a</t>
        </is>
      </c>
      <c r="B3" s="5" t="n">
        <v>89</v>
      </c>
      <c r="C3" s="5" t="n">
        <v>0</v>
      </c>
      <c r="D3" s="5" t="n">
        <v>0</v>
      </c>
      <c r="E3" s="5" t="n">
        <v>89</v>
      </c>
      <c r="F3" s="5" t="n">
        <v>76</v>
      </c>
      <c r="G3" s="5" t="n">
        <v>4</v>
      </c>
      <c r="H3" s="5" t="n">
        <v>0</v>
      </c>
      <c r="I3" s="12" t="n">
        <v>0.132</v>
      </c>
    </row>
    <row r="4">
      <c r="A4" s="4" t="inlineStr">
        <is>
          <t>market_b</t>
        </is>
      </c>
      <c r="B4" s="5" t="n">
        <v>74</v>
      </c>
      <c r="C4" s="5" t="n">
        <v>0</v>
      </c>
      <c r="D4" s="5" t="n">
        <v>3</v>
      </c>
      <c r="E4" s="5" t="n">
        <v>71</v>
      </c>
      <c r="F4" s="5" t="n">
        <v>56</v>
      </c>
      <c r="G4" s="5" t="n">
        <v>3</v>
      </c>
      <c r="H4" s="5" t="n">
        <v>0</v>
      </c>
      <c r="I4" s="12" t="n">
        <v>0.108</v>
      </c>
    </row>
    <row r="5">
      <c r="A5" s="4" t="inlineStr">
        <is>
          <t>market_c</t>
        </is>
      </c>
      <c r="B5" s="5" t="n">
        <v>85</v>
      </c>
      <c r="C5" s="5" t="n">
        <v>4</v>
      </c>
      <c r="D5" s="5" t="n">
        <v>0</v>
      </c>
      <c r="E5" s="5" t="n">
        <v>81</v>
      </c>
      <c r="F5" s="5" t="n">
        <v>68</v>
      </c>
      <c r="G5" s="5" t="n">
        <v>3</v>
      </c>
      <c r="H5" s="5" t="n">
        <v>0</v>
      </c>
      <c r="I5" s="12" t="n">
        <v>0.113</v>
      </c>
    </row>
  </sheetData>
  <autoFilter ref="A2: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2026-10-22T08:42:15Z</dcterms:created>
  <dcterms:modified xmlns:dcterms="http://purl.org/dc/terms/" xmlns:xsi="http://www.w3.org/2001/XMLSchema-instance" xsi:type="dcterms:W3CDTF">2026-10-22T08:42:16Z</dcterms:modified>
</cp:coreProperties>
</file>